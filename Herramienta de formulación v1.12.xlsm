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guar\Downloads\"/>
    </mc:Choice>
  </mc:AlternateContent>
  <xr:revisionPtr revIDLastSave="0" documentId="13_ncr:1_{2DEA6F91-29E9-4FA7-8524-C71F6FBB734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ulación de premezclas" sheetId="1" r:id="rId1"/>
    <sheet name="Fórmula" sheetId="2" r:id="rId2"/>
    <sheet name="FT" sheetId="4" r:id="rId3"/>
    <sheet name="check" sheetId="5" state="hidden" r:id="rId4"/>
    <sheet name="Backup" sheetId="3" state="hidden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9" i="1" l="1"/>
  <c r="L99" i="1" s="1"/>
  <c r="D99" i="1"/>
  <c r="C99" i="1"/>
  <c r="E99" i="1" s="1"/>
  <c r="A99" i="1"/>
  <c r="L98" i="1"/>
  <c r="K98" i="1"/>
  <c r="E98" i="1"/>
  <c r="D98" i="1"/>
  <c r="C98" i="1"/>
  <c r="A98" i="1"/>
  <c r="K97" i="1"/>
  <c r="L97" i="1" s="1"/>
  <c r="D97" i="1"/>
  <c r="C97" i="1"/>
  <c r="E97" i="1" s="1"/>
  <c r="A97" i="1"/>
  <c r="L96" i="1"/>
  <c r="K96" i="1"/>
  <c r="E96" i="1"/>
  <c r="D96" i="1"/>
  <c r="C96" i="1"/>
  <c r="A96" i="1"/>
  <c r="K95" i="1"/>
  <c r="L95" i="1" s="1"/>
  <c r="D95" i="1"/>
  <c r="C95" i="1"/>
  <c r="E95" i="1" s="1"/>
  <c r="A95" i="1"/>
  <c r="L94" i="1"/>
  <c r="K94" i="1"/>
  <c r="E94" i="1"/>
  <c r="D94" i="1"/>
  <c r="C94" i="1"/>
  <c r="A94" i="1"/>
  <c r="L93" i="1"/>
  <c r="K93" i="1"/>
  <c r="D93" i="1"/>
  <c r="C93" i="1"/>
  <c r="E93" i="1" s="1"/>
  <c r="A93" i="1"/>
  <c r="L92" i="1"/>
  <c r="K92" i="1"/>
  <c r="E92" i="1"/>
  <c r="D92" i="1"/>
  <c r="C92" i="1"/>
  <c r="A92" i="1"/>
  <c r="L91" i="1"/>
  <c r="K91" i="1"/>
  <c r="D91" i="1"/>
  <c r="C91" i="1"/>
  <c r="E91" i="1" s="1"/>
  <c r="A91" i="1"/>
  <c r="L90" i="1"/>
  <c r="K90" i="1"/>
  <c r="E90" i="1"/>
  <c r="D90" i="1"/>
  <c r="C90" i="1"/>
  <c r="A90" i="1"/>
  <c r="L89" i="1"/>
  <c r="K89" i="1"/>
  <c r="D89" i="1"/>
  <c r="C89" i="1"/>
  <c r="E89" i="1" s="1"/>
  <c r="A89" i="1"/>
  <c r="L88" i="1"/>
  <c r="K88" i="1"/>
  <c r="E88" i="1"/>
  <c r="D88" i="1"/>
  <c r="C88" i="1"/>
  <c r="A88" i="1"/>
  <c r="L87" i="1"/>
  <c r="K87" i="1"/>
  <c r="D87" i="1"/>
  <c r="C87" i="1"/>
  <c r="E87" i="1" s="1"/>
  <c r="A87" i="1"/>
  <c r="L86" i="1"/>
  <c r="K86" i="1"/>
  <c r="E86" i="1"/>
  <c r="D86" i="1"/>
  <c r="C86" i="1"/>
  <c r="A86" i="1"/>
  <c r="L85" i="1"/>
  <c r="K85" i="1"/>
  <c r="D85" i="1"/>
  <c r="C85" i="1"/>
  <c r="E85" i="1" s="1"/>
  <c r="A85" i="1"/>
  <c r="L84" i="1"/>
  <c r="K84" i="1"/>
  <c r="E84" i="1"/>
  <c r="D84" i="1"/>
  <c r="C84" i="1"/>
  <c r="A84" i="1"/>
  <c r="L83" i="1"/>
  <c r="K83" i="1"/>
  <c r="D83" i="1"/>
  <c r="C83" i="1"/>
  <c r="E83" i="1" s="1"/>
  <c r="A83" i="1"/>
  <c r="L82" i="1"/>
  <c r="K82" i="1"/>
  <c r="E82" i="1"/>
  <c r="D82" i="1"/>
  <c r="C82" i="1"/>
  <c r="A82" i="1"/>
  <c r="L81" i="1"/>
  <c r="K81" i="1"/>
  <c r="D81" i="1"/>
  <c r="C81" i="1"/>
  <c r="E81" i="1" s="1"/>
  <c r="A81" i="1"/>
  <c r="L80" i="1"/>
  <c r="K80" i="1"/>
  <c r="E80" i="1"/>
  <c r="D80" i="1"/>
  <c r="C80" i="1"/>
  <c r="A80" i="1"/>
  <c r="L79" i="1"/>
  <c r="K79" i="1"/>
  <c r="D79" i="1"/>
  <c r="C79" i="1"/>
  <c r="E79" i="1" s="1"/>
  <c r="A79" i="1"/>
  <c r="L78" i="1"/>
  <c r="K78" i="1"/>
  <c r="E78" i="1"/>
  <c r="D78" i="1"/>
  <c r="C78" i="1"/>
  <c r="A78" i="1"/>
  <c r="L77" i="1"/>
  <c r="K77" i="1"/>
  <c r="D77" i="1"/>
  <c r="C77" i="1"/>
  <c r="E77" i="1" s="1"/>
  <c r="A77" i="1"/>
  <c r="L76" i="1"/>
  <c r="K76" i="1"/>
  <c r="E76" i="1"/>
  <c r="D76" i="1"/>
  <c r="C76" i="1"/>
  <c r="A76" i="1"/>
  <c r="L75" i="1"/>
  <c r="K75" i="1"/>
  <c r="D75" i="1"/>
  <c r="C75" i="1"/>
  <c r="E75" i="1" s="1"/>
  <c r="A75" i="1"/>
  <c r="L74" i="1"/>
  <c r="K74" i="1"/>
  <c r="E74" i="1"/>
  <c r="D74" i="1"/>
  <c r="C74" i="1"/>
  <c r="A74" i="1"/>
  <c r="L73" i="1"/>
  <c r="K73" i="1"/>
  <c r="D73" i="1"/>
  <c r="C73" i="1"/>
  <c r="E73" i="1" s="1"/>
  <c r="A73" i="1"/>
  <c r="L72" i="1"/>
  <c r="K72" i="1"/>
  <c r="E72" i="1"/>
  <c r="D72" i="1"/>
  <c r="C72" i="1"/>
  <c r="A72" i="1"/>
  <c r="L71" i="1"/>
  <c r="K71" i="1"/>
  <c r="D71" i="1"/>
  <c r="C71" i="1"/>
  <c r="E71" i="1" s="1"/>
  <c r="A71" i="1"/>
  <c r="L70" i="1"/>
  <c r="K70" i="1"/>
  <c r="E70" i="1"/>
  <c r="D70" i="1"/>
  <c r="C70" i="1"/>
  <c r="A70" i="1"/>
  <c r="L69" i="1"/>
  <c r="K69" i="1"/>
  <c r="D69" i="1"/>
  <c r="C69" i="1"/>
  <c r="E69" i="1" s="1"/>
  <c r="A69" i="1"/>
  <c r="L68" i="1"/>
  <c r="K68" i="1"/>
  <c r="E68" i="1"/>
  <c r="D68" i="1"/>
  <c r="C68" i="1"/>
  <c r="A68" i="1"/>
  <c r="L67" i="1"/>
  <c r="K67" i="1"/>
  <c r="D67" i="1"/>
  <c r="C67" i="1"/>
  <c r="E67" i="1" s="1"/>
  <c r="A67" i="1"/>
  <c r="L66" i="1"/>
  <c r="K66" i="1"/>
  <c r="E66" i="1"/>
  <c r="D66" i="1"/>
  <c r="C66" i="1"/>
  <c r="A66" i="1"/>
  <c r="L65" i="1"/>
  <c r="K65" i="1"/>
  <c r="D65" i="1"/>
  <c r="C65" i="1"/>
  <c r="E65" i="1" s="1"/>
  <c r="A65" i="1"/>
  <c r="L64" i="1"/>
  <c r="K64" i="1"/>
  <c r="E64" i="1"/>
  <c r="D64" i="1"/>
  <c r="C64" i="1"/>
  <c r="A64" i="1"/>
  <c r="L63" i="1"/>
  <c r="K63" i="1"/>
  <c r="D63" i="1"/>
  <c r="C63" i="1"/>
  <c r="E63" i="1" s="1"/>
  <c r="A63" i="1"/>
  <c r="L62" i="1"/>
  <c r="K62" i="1"/>
  <c r="E62" i="1"/>
  <c r="D62" i="1"/>
  <c r="C62" i="1"/>
  <c r="A62" i="1"/>
  <c r="L61" i="1"/>
  <c r="K61" i="1"/>
  <c r="D61" i="1"/>
  <c r="C61" i="1"/>
  <c r="E61" i="1" s="1"/>
  <c r="A61" i="1"/>
  <c r="L60" i="1"/>
  <c r="K60" i="1"/>
  <c r="E60" i="1"/>
  <c r="D60" i="1"/>
  <c r="C60" i="1"/>
  <c r="A60" i="1"/>
  <c r="L59" i="1"/>
  <c r="K59" i="1"/>
  <c r="D59" i="1"/>
  <c r="C59" i="1"/>
  <c r="E59" i="1" s="1"/>
  <c r="A59" i="1"/>
  <c r="L58" i="1"/>
  <c r="K58" i="1"/>
  <c r="E58" i="1"/>
  <c r="D58" i="1"/>
  <c r="C58" i="1"/>
  <c r="A58" i="1"/>
  <c r="L57" i="1"/>
  <c r="K57" i="1"/>
  <c r="D57" i="1"/>
  <c r="C57" i="1"/>
  <c r="E57" i="1" s="1"/>
  <c r="A57" i="1"/>
  <c r="L56" i="1"/>
  <c r="K56" i="1"/>
  <c r="E56" i="1"/>
  <c r="D56" i="1"/>
  <c r="C56" i="1"/>
  <c r="A56" i="1"/>
  <c r="L55" i="1"/>
  <c r="K55" i="1"/>
  <c r="D55" i="1"/>
  <c r="C55" i="1"/>
  <c r="E55" i="1" s="1"/>
  <c r="A55" i="1"/>
  <c r="L54" i="1"/>
  <c r="K54" i="1"/>
  <c r="E54" i="1"/>
  <c r="D54" i="1"/>
  <c r="C54" i="1"/>
  <c r="A54" i="1"/>
  <c r="L53" i="1"/>
  <c r="K53" i="1"/>
  <c r="D53" i="1"/>
  <c r="C53" i="1"/>
  <c r="E53" i="1" s="1"/>
  <c r="A53" i="1"/>
  <c r="L52" i="1"/>
  <c r="K52" i="1"/>
  <c r="E52" i="1"/>
  <c r="D52" i="1"/>
  <c r="C52" i="1"/>
  <c r="A52" i="1"/>
  <c r="L51" i="1"/>
  <c r="K51" i="1"/>
  <c r="D51" i="1"/>
  <c r="C51" i="1"/>
  <c r="E51" i="1" s="1"/>
  <c r="A51" i="1"/>
  <c r="L50" i="1"/>
  <c r="K50" i="1"/>
  <c r="E50" i="1"/>
  <c r="D50" i="1"/>
  <c r="C50" i="1"/>
  <c r="A50" i="1"/>
  <c r="L49" i="1"/>
  <c r="K49" i="1"/>
  <c r="D49" i="1"/>
  <c r="C49" i="1"/>
  <c r="E49" i="1" s="1"/>
  <c r="A49" i="1"/>
  <c r="L48" i="1"/>
  <c r="K48" i="1"/>
  <c r="E48" i="1"/>
  <c r="D48" i="1"/>
  <c r="C48" i="1"/>
  <c r="A48" i="1"/>
  <c r="L47" i="1"/>
  <c r="K47" i="1"/>
  <c r="D47" i="1"/>
  <c r="C47" i="1"/>
  <c r="E47" i="1" s="1"/>
  <c r="A47" i="1"/>
  <c r="L46" i="1"/>
  <c r="K46" i="1"/>
  <c r="E46" i="1"/>
  <c r="A46" i="1"/>
  <c r="L45" i="1"/>
  <c r="K45" i="1"/>
  <c r="E45" i="1"/>
  <c r="C45" i="1"/>
  <c r="A45" i="1"/>
  <c r="K44" i="1"/>
  <c r="L44" i="1" s="1"/>
  <c r="C44" i="1"/>
  <c r="E44" i="1" s="1"/>
  <c r="A44" i="1"/>
  <c r="K43" i="1"/>
  <c r="L43" i="1" s="1"/>
  <c r="E43" i="1"/>
  <c r="A43" i="1"/>
  <c r="L42" i="1"/>
  <c r="K42" i="1"/>
  <c r="C42" i="1"/>
  <c r="E42" i="1" s="1"/>
  <c r="A42" i="1"/>
  <c r="K41" i="1"/>
  <c r="L41" i="1" s="1"/>
  <c r="C41" i="1"/>
  <c r="E41" i="1" s="1"/>
  <c r="A41" i="1"/>
  <c r="L40" i="1"/>
  <c r="K40" i="1"/>
  <c r="E40" i="1"/>
  <c r="C40" i="1"/>
  <c r="A40" i="1"/>
  <c r="K39" i="1"/>
  <c r="L39" i="1" s="1"/>
  <c r="C39" i="1"/>
  <c r="E39" i="1" s="1"/>
  <c r="A39" i="1"/>
  <c r="K38" i="1"/>
  <c r="L38" i="1" s="1"/>
  <c r="E38" i="1"/>
  <c r="C38" i="1"/>
  <c r="A38" i="1"/>
  <c r="L37" i="1"/>
  <c r="K37" i="1"/>
  <c r="C37" i="1"/>
  <c r="E37" i="1" s="1"/>
  <c r="A37" i="1"/>
  <c r="L36" i="1"/>
  <c r="K36" i="1"/>
  <c r="C36" i="1"/>
  <c r="E36" i="1" s="1"/>
  <c r="A36" i="1"/>
  <c r="K35" i="1"/>
  <c r="L35" i="1" s="1"/>
  <c r="E35" i="1"/>
  <c r="A35" i="1"/>
  <c r="K34" i="1"/>
  <c r="L34" i="1" s="1"/>
  <c r="C34" i="1"/>
  <c r="E34" i="1" s="1"/>
  <c r="A34" i="1"/>
  <c r="K33" i="1"/>
  <c r="L33" i="1" s="1"/>
  <c r="C33" i="1"/>
  <c r="E33" i="1" s="1"/>
  <c r="A33" i="1"/>
  <c r="L32" i="1"/>
  <c r="K32" i="1"/>
  <c r="C32" i="1"/>
  <c r="E32" i="1" s="1"/>
  <c r="A32" i="1"/>
  <c r="L31" i="1"/>
  <c r="K31" i="1"/>
  <c r="C31" i="1"/>
  <c r="E31" i="1" s="1"/>
  <c r="A31" i="1"/>
  <c r="K30" i="1"/>
  <c r="L30" i="1" s="1"/>
  <c r="E30" i="1"/>
  <c r="A30" i="1"/>
  <c r="K29" i="1"/>
  <c r="L29" i="1" s="1"/>
  <c r="C29" i="1"/>
  <c r="E29" i="1" s="1"/>
  <c r="A29" i="1"/>
  <c r="K28" i="1"/>
  <c r="L28" i="1" s="1"/>
  <c r="C28" i="1"/>
  <c r="E28" i="1" s="1"/>
  <c r="A28" i="1"/>
  <c r="L27" i="1"/>
  <c r="K27" i="1"/>
  <c r="C27" i="1"/>
  <c r="E27" i="1" s="1"/>
  <c r="A27" i="1"/>
  <c r="L26" i="1"/>
  <c r="K26" i="1"/>
  <c r="C26" i="1"/>
  <c r="E26" i="1" s="1"/>
  <c r="A26" i="1"/>
  <c r="K25" i="1"/>
  <c r="L25" i="1" s="1"/>
  <c r="E25" i="1"/>
  <c r="C25" i="1"/>
  <c r="A25" i="1"/>
  <c r="L24" i="1"/>
  <c r="K24" i="1"/>
  <c r="E24" i="1"/>
  <c r="C24" i="1"/>
  <c r="A24" i="1"/>
  <c r="L23" i="1"/>
  <c r="K23" i="1"/>
  <c r="C23" i="1"/>
  <c r="E23" i="1" s="1"/>
  <c r="A23" i="1"/>
  <c r="K22" i="1"/>
  <c r="L22" i="1" s="1"/>
  <c r="E22" i="1"/>
  <c r="C22" i="1"/>
  <c r="A22" i="1"/>
  <c r="K21" i="1"/>
  <c r="L21" i="1" s="1"/>
  <c r="E21" i="1"/>
  <c r="C21" i="1"/>
  <c r="A21" i="1"/>
  <c r="L20" i="1"/>
  <c r="K20" i="1"/>
  <c r="C20" i="1"/>
  <c r="E20" i="1" s="1"/>
  <c r="A20" i="1"/>
  <c r="A19" i="1"/>
  <c r="L18" i="1"/>
  <c r="K18" i="1"/>
  <c r="C18" i="1"/>
  <c r="E18" i="1" s="1"/>
  <c r="A18" i="1"/>
  <c r="C17" i="1"/>
  <c r="K16" i="1"/>
  <c r="L16" i="1" s="1"/>
  <c r="E16" i="1"/>
  <c r="E17" i="1" s="1"/>
  <c r="C16" i="1"/>
  <c r="A16" i="1"/>
  <c r="A17" i="1" s="1"/>
  <c r="C15" i="1"/>
  <c r="A15" i="1"/>
  <c r="K14" i="1"/>
  <c r="K105" i="1" s="1"/>
  <c r="E14" i="1"/>
  <c r="E15" i="1" s="1"/>
  <c r="C14" i="1"/>
  <c r="A14" i="1"/>
  <c r="K10" i="1"/>
  <c r="J10" i="1"/>
  <c r="K9" i="1"/>
  <c r="L14" i="1" l="1"/>
  <c r="L104" i="1" s="1"/>
  <c r="Z1" i="5"/>
  <c r="Z3" i="5" s="1"/>
  <c r="K99" i="3" l="1"/>
  <c r="L99" i="3" s="1"/>
  <c r="D99" i="3"/>
  <c r="C99" i="3"/>
  <c r="E99" i="3" s="1"/>
  <c r="A99" i="3"/>
  <c r="K98" i="3"/>
  <c r="L98" i="3" s="1"/>
  <c r="D98" i="3"/>
  <c r="C98" i="3"/>
  <c r="E98" i="3" s="1"/>
  <c r="A98" i="3"/>
  <c r="K97" i="3"/>
  <c r="L97" i="3" s="1"/>
  <c r="D97" i="3"/>
  <c r="C97" i="3"/>
  <c r="E97" i="3" s="1"/>
  <c r="A97" i="3"/>
  <c r="K96" i="3"/>
  <c r="L96" i="3" s="1"/>
  <c r="D96" i="3"/>
  <c r="C96" i="3"/>
  <c r="E96" i="3" s="1"/>
  <c r="A96" i="3"/>
  <c r="K95" i="3"/>
  <c r="L95" i="3" s="1"/>
  <c r="D95" i="3"/>
  <c r="C95" i="3"/>
  <c r="E95" i="3" s="1"/>
  <c r="A95" i="3"/>
  <c r="K94" i="3"/>
  <c r="L94" i="3" s="1"/>
  <c r="D94" i="3"/>
  <c r="C94" i="3"/>
  <c r="E94" i="3" s="1"/>
  <c r="A94" i="3"/>
  <c r="K93" i="3"/>
  <c r="L93" i="3" s="1"/>
  <c r="D93" i="3"/>
  <c r="C93" i="3"/>
  <c r="E93" i="3" s="1"/>
  <c r="A93" i="3"/>
  <c r="K92" i="3"/>
  <c r="L92" i="3" s="1"/>
  <c r="D92" i="3"/>
  <c r="C92" i="3"/>
  <c r="E92" i="3" s="1"/>
  <c r="A92" i="3"/>
  <c r="K91" i="3"/>
  <c r="L91" i="3" s="1"/>
  <c r="D91" i="3"/>
  <c r="C91" i="3"/>
  <c r="E91" i="3" s="1"/>
  <c r="A91" i="3"/>
  <c r="K90" i="3"/>
  <c r="L90" i="3" s="1"/>
  <c r="D90" i="3"/>
  <c r="C90" i="3"/>
  <c r="E90" i="3" s="1"/>
  <c r="A90" i="3"/>
  <c r="K89" i="3"/>
  <c r="L89" i="3" s="1"/>
  <c r="D89" i="3"/>
  <c r="C89" i="3"/>
  <c r="E89" i="3" s="1"/>
  <c r="A89" i="3"/>
  <c r="K88" i="3"/>
  <c r="L88" i="3" s="1"/>
  <c r="D88" i="3"/>
  <c r="C88" i="3"/>
  <c r="E88" i="3" s="1"/>
  <c r="A88" i="3"/>
  <c r="K87" i="3"/>
  <c r="L87" i="3" s="1"/>
  <c r="D87" i="3"/>
  <c r="C87" i="3"/>
  <c r="E87" i="3" s="1"/>
  <c r="A87" i="3"/>
  <c r="K86" i="3"/>
  <c r="L86" i="3" s="1"/>
  <c r="D86" i="3"/>
  <c r="C86" i="3"/>
  <c r="E86" i="3" s="1"/>
  <c r="A86" i="3"/>
  <c r="K85" i="3"/>
  <c r="L85" i="3" s="1"/>
  <c r="D85" i="3"/>
  <c r="C85" i="3"/>
  <c r="E85" i="3" s="1"/>
  <c r="A85" i="3"/>
  <c r="K84" i="3"/>
  <c r="L84" i="3" s="1"/>
  <c r="D84" i="3"/>
  <c r="C84" i="3"/>
  <c r="E84" i="3" s="1"/>
  <c r="A84" i="3"/>
  <c r="K83" i="3"/>
  <c r="L83" i="3" s="1"/>
  <c r="D83" i="3"/>
  <c r="C83" i="3"/>
  <c r="E83" i="3" s="1"/>
  <c r="A83" i="3"/>
  <c r="K82" i="3"/>
  <c r="L82" i="3" s="1"/>
  <c r="D82" i="3"/>
  <c r="C82" i="3"/>
  <c r="E82" i="3" s="1"/>
  <c r="A82" i="3"/>
  <c r="K81" i="3"/>
  <c r="L81" i="3" s="1"/>
  <c r="D81" i="3"/>
  <c r="C81" i="3"/>
  <c r="E81" i="3" s="1"/>
  <c r="A81" i="3"/>
  <c r="K80" i="3"/>
  <c r="L80" i="3" s="1"/>
  <c r="D80" i="3"/>
  <c r="C80" i="3"/>
  <c r="E80" i="3" s="1"/>
  <c r="A80" i="3"/>
  <c r="K79" i="3"/>
  <c r="L79" i="3" s="1"/>
  <c r="D79" i="3"/>
  <c r="C79" i="3"/>
  <c r="E79" i="3" s="1"/>
  <c r="A79" i="3"/>
  <c r="K78" i="3"/>
  <c r="L78" i="3" s="1"/>
  <c r="D78" i="3"/>
  <c r="C78" i="3"/>
  <c r="E78" i="3" s="1"/>
  <c r="A78" i="3"/>
  <c r="K77" i="3"/>
  <c r="L77" i="3" s="1"/>
  <c r="D77" i="3"/>
  <c r="C77" i="3"/>
  <c r="E77" i="3" s="1"/>
  <c r="A77" i="3"/>
  <c r="K76" i="3"/>
  <c r="L76" i="3" s="1"/>
  <c r="D76" i="3"/>
  <c r="C76" i="3"/>
  <c r="E76" i="3" s="1"/>
  <c r="A76" i="3"/>
  <c r="K75" i="3"/>
  <c r="L75" i="3" s="1"/>
  <c r="D75" i="3"/>
  <c r="C75" i="3"/>
  <c r="E75" i="3" s="1"/>
  <c r="A75" i="3"/>
  <c r="K74" i="3"/>
  <c r="L74" i="3" s="1"/>
  <c r="D74" i="3"/>
  <c r="C74" i="3"/>
  <c r="E74" i="3" s="1"/>
  <c r="A74" i="3"/>
  <c r="K73" i="3"/>
  <c r="L73" i="3" s="1"/>
  <c r="D73" i="3"/>
  <c r="C73" i="3"/>
  <c r="E73" i="3" s="1"/>
  <c r="A73" i="3"/>
  <c r="K72" i="3"/>
  <c r="L72" i="3" s="1"/>
  <c r="D72" i="3"/>
  <c r="C72" i="3"/>
  <c r="E72" i="3" s="1"/>
  <c r="A72" i="3"/>
  <c r="K71" i="3"/>
  <c r="L71" i="3" s="1"/>
  <c r="D71" i="3"/>
  <c r="C71" i="3"/>
  <c r="E71" i="3" s="1"/>
  <c r="A71" i="3"/>
  <c r="K70" i="3"/>
  <c r="L70" i="3" s="1"/>
  <c r="D70" i="3"/>
  <c r="C70" i="3"/>
  <c r="E70" i="3" s="1"/>
  <c r="A70" i="3"/>
  <c r="K69" i="3"/>
  <c r="L69" i="3" s="1"/>
  <c r="D69" i="3"/>
  <c r="C69" i="3"/>
  <c r="E69" i="3" s="1"/>
  <c r="A69" i="3"/>
  <c r="K68" i="3"/>
  <c r="L68" i="3" s="1"/>
  <c r="D68" i="3"/>
  <c r="C68" i="3"/>
  <c r="E68" i="3" s="1"/>
  <c r="A68" i="3"/>
  <c r="K67" i="3"/>
  <c r="L67" i="3" s="1"/>
  <c r="D67" i="3"/>
  <c r="C67" i="3"/>
  <c r="E67" i="3" s="1"/>
  <c r="A67" i="3"/>
  <c r="K66" i="3"/>
  <c r="L66" i="3" s="1"/>
  <c r="D66" i="3"/>
  <c r="C66" i="3"/>
  <c r="E66" i="3" s="1"/>
  <c r="A66" i="3"/>
  <c r="K65" i="3"/>
  <c r="L65" i="3" s="1"/>
  <c r="D65" i="3"/>
  <c r="C65" i="3"/>
  <c r="E65" i="3" s="1"/>
  <c r="A65" i="3"/>
  <c r="K64" i="3"/>
  <c r="L64" i="3" s="1"/>
  <c r="D64" i="3"/>
  <c r="C64" i="3"/>
  <c r="E64" i="3" s="1"/>
  <c r="A64" i="3"/>
  <c r="K63" i="3"/>
  <c r="L63" i="3" s="1"/>
  <c r="D63" i="3"/>
  <c r="C63" i="3"/>
  <c r="E63" i="3" s="1"/>
  <c r="A63" i="3"/>
  <c r="K62" i="3"/>
  <c r="L62" i="3" s="1"/>
  <c r="D62" i="3"/>
  <c r="C62" i="3"/>
  <c r="E62" i="3" s="1"/>
  <c r="A62" i="3"/>
  <c r="K61" i="3"/>
  <c r="L61" i="3" s="1"/>
  <c r="D61" i="3"/>
  <c r="C61" i="3"/>
  <c r="E61" i="3" s="1"/>
  <c r="A61" i="3"/>
  <c r="K60" i="3"/>
  <c r="L60" i="3" s="1"/>
  <c r="D60" i="3"/>
  <c r="C60" i="3"/>
  <c r="E60" i="3" s="1"/>
  <c r="A60" i="3"/>
  <c r="K59" i="3"/>
  <c r="L59" i="3" s="1"/>
  <c r="D59" i="3"/>
  <c r="C59" i="3"/>
  <c r="E59" i="3" s="1"/>
  <c r="A59" i="3"/>
  <c r="K58" i="3"/>
  <c r="L58" i="3" s="1"/>
  <c r="D58" i="3"/>
  <c r="C58" i="3"/>
  <c r="E58" i="3" s="1"/>
  <c r="A58" i="3"/>
  <c r="K57" i="3"/>
  <c r="L57" i="3" s="1"/>
  <c r="D57" i="3"/>
  <c r="C57" i="3"/>
  <c r="E57" i="3" s="1"/>
  <c r="A57" i="3"/>
  <c r="K56" i="3"/>
  <c r="L56" i="3" s="1"/>
  <c r="D56" i="3"/>
  <c r="C56" i="3"/>
  <c r="E56" i="3" s="1"/>
  <c r="A56" i="3"/>
  <c r="K55" i="3"/>
  <c r="L55" i="3" s="1"/>
  <c r="D55" i="3"/>
  <c r="C55" i="3"/>
  <c r="E55" i="3" s="1"/>
  <c r="A55" i="3"/>
  <c r="K54" i="3"/>
  <c r="L54" i="3" s="1"/>
  <c r="D54" i="3"/>
  <c r="C54" i="3"/>
  <c r="E54" i="3" s="1"/>
  <c r="A54" i="3"/>
  <c r="K53" i="3"/>
  <c r="L53" i="3" s="1"/>
  <c r="D53" i="3"/>
  <c r="C53" i="3"/>
  <c r="E53" i="3" s="1"/>
  <c r="A53" i="3"/>
  <c r="K52" i="3"/>
  <c r="L52" i="3" s="1"/>
  <c r="D52" i="3"/>
  <c r="C52" i="3"/>
  <c r="E52" i="3" s="1"/>
  <c r="A52" i="3"/>
  <c r="K51" i="3"/>
  <c r="L51" i="3" s="1"/>
  <c r="D51" i="3"/>
  <c r="C51" i="3"/>
  <c r="E51" i="3" s="1"/>
  <c r="A51" i="3"/>
  <c r="L50" i="3"/>
  <c r="K50" i="3"/>
  <c r="D50" i="3"/>
  <c r="C50" i="3"/>
  <c r="E50" i="3" s="1"/>
  <c r="A50" i="3"/>
  <c r="K49" i="3"/>
  <c r="L49" i="3" s="1"/>
  <c r="D49" i="3"/>
  <c r="C49" i="3"/>
  <c r="E49" i="3" s="1"/>
  <c r="A49" i="3"/>
  <c r="K48" i="3"/>
  <c r="L48" i="3" s="1"/>
  <c r="D48" i="3"/>
  <c r="C48" i="3"/>
  <c r="E48" i="3" s="1"/>
  <c r="A48" i="3"/>
  <c r="K47" i="3"/>
  <c r="L47" i="3" s="1"/>
  <c r="E47" i="3"/>
  <c r="D47" i="3"/>
  <c r="C47" i="3"/>
  <c r="A47" i="3"/>
  <c r="K46" i="3"/>
  <c r="L46" i="3" s="1"/>
  <c r="E46" i="3"/>
  <c r="A46" i="3"/>
  <c r="K45" i="3"/>
  <c r="L45" i="3" s="1"/>
  <c r="C45" i="3"/>
  <c r="E45" i="3" s="1"/>
  <c r="A45" i="3"/>
  <c r="K44" i="3"/>
  <c r="L44" i="3" s="1"/>
  <c r="C44" i="3"/>
  <c r="E44" i="3" s="1"/>
  <c r="A44" i="3"/>
  <c r="K43" i="3"/>
  <c r="L43" i="3" s="1"/>
  <c r="E43" i="3"/>
  <c r="A43" i="3"/>
  <c r="K42" i="3"/>
  <c r="L42" i="3" s="1"/>
  <c r="C42" i="3"/>
  <c r="E42" i="3" s="1"/>
  <c r="A42" i="3"/>
  <c r="K41" i="3"/>
  <c r="L41" i="3" s="1"/>
  <c r="C41" i="3"/>
  <c r="E41" i="3" s="1"/>
  <c r="A41" i="3"/>
  <c r="K40" i="3"/>
  <c r="L40" i="3" s="1"/>
  <c r="C40" i="3"/>
  <c r="E40" i="3" s="1"/>
  <c r="A40" i="3"/>
  <c r="K39" i="3"/>
  <c r="L39" i="3" s="1"/>
  <c r="C39" i="3"/>
  <c r="E39" i="3" s="1"/>
  <c r="A39" i="3"/>
  <c r="K38" i="3"/>
  <c r="L38" i="3" s="1"/>
  <c r="C38" i="3"/>
  <c r="E38" i="3" s="1"/>
  <c r="A38" i="3"/>
  <c r="K37" i="3"/>
  <c r="L37" i="3" s="1"/>
  <c r="C37" i="3"/>
  <c r="E37" i="3" s="1"/>
  <c r="A37" i="3"/>
  <c r="K36" i="3"/>
  <c r="L36" i="3" s="1"/>
  <c r="C36" i="3"/>
  <c r="E36" i="3" s="1"/>
  <c r="A36" i="3"/>
  <c r="K35" i="3"/>
  <c r="L35" i="3" s="1"/>
  <c r="E35" i="3"/>
  <c r="A35" i="3"/>
  <c r="K34" i="3"/>
  <c r="L34" i="3" s="1"/>
  <c r="C34" i="3"/>
  <c r="E34" i="3" s="1"/>
  <c r="A34" i="3"/>
  <c r="K33" i="3"/>
  <c r="L33" i="3" s="1"/>
  <c r="C33" i="3"/>
  <c r="E33" i="3" s="1"/>
  <c r="A33" i="3"/>
  <c r="K32" i="3"/>
  <c r="L32" i="3" s="1"/>
  <c r="C32" i="3"/>
  <c r="E32" i="3" s="1"/>
  <c r="A32" i="3"/>
  <c r="K31" i="3"/>
  <c r="L31" i="3" s="1"/>
  <c r="C31" i="3"/>
  <c r="E31" i="3" s="1"/>
  <c r="A31" i="3"/>
  <c r="K30" i="3"/>
  <c r="L30" i="3" s="1"/>
  <c r="E30" i="3"/>
  <c r="A30" i="3"/>
  <c r="K29" i="3"/>
  <c r="L29" i="3" s="1"/>
  <c r="C29" i="3"/>
  <c r="E29" i="3" s="1"/>
  <c r="A29" i="3"/>
  <c r="K28" i="3"/>
  <c r="L28" i="3" s="1"/>
  <c r="C28" i="3"/>
  <c r="E28" i="3" s="1"/>
  <c r="A28" i="3"/>
  <c r="K27" i="3"/>
  <c r="L27" i="3" s="1"/>
  <c r="C27" i="3"/>
  <c r="E27" i="3" s="1"/>
  <c r="A27" i="3"/>
  <c r="K26" i="3"/>
  <c r="L26" i="3" s="1"/>
  <c r="C26" i="3"/>
  <c r="E26" i="3" s="1"/>
  <c r="A26" i="3"/>
  <c r="K25" i="3"/>
  <c r="L25" i="3" s="1"/>
  <c r="C25" i="3"/>
  <c r="E25" i="3" s="1"/>
  <c r="A25" i="3"/>
  <c r="K24" i="3"/>
  <c r="L24" i="3" s="1"/>
  <c r="C24" i="3"/>
  <c r="E24" i="3" s="1"/>
  <c r="A24" i="3"/>
  <c r="K23" i="3"/>
  <c r="L23" i="3" s="1"/>
  <c r="C23" i="3"/>
  <c r="E23" i="3" s="1"/>
  <c r="A23" i="3"/>
  <c r="K22" i="3"/>
  <c r="L22" i="3" s="1"/>
  <c r="C22" i="3"/>
  <c r="E22" i="3" s="1"/>
  <c r="A22" i="3"/>
  <c r="K21" i="3"/>
  <c r="L21" i="3" s="1"/>
  <c r="C21" i="3"/>
  <c r="E21" i="3" s="1"/>
  <c r="A21" i="3"/>
  <c r="K20" i="3"/>
  <c r="L20" i="3" s="1"/>
  <c r="C20" i="3"/>
  <c r="E20" i="3" s="1"/>
  <c r="A20" i="3"/>
  <c r="K18" i="3"/>
  <c r="L18" i="3" s="1"/>
  <c r="C18" i="3"/>
  <c r="E18" i="3" s="1"/>
  <c r="A18" i="3"/>
  <c r="A19" i="3" s="1"/>
  <c r="K16" i="3"/>
  <c r="L16" i="3" s="1"/>
  <c r="C16" i="3"/>
  <c r="C17" i="3" s="1"/>
  <c r="A16" i="3"/>
  <c r="A17" i="3" s="1"/>
  <c r="K14" i="3"/>
  <c r="C14" i="3"/>
  <c r="C15" i="3" s="1"/>
  <c r="A14" i="3"/>
  <c r="A15" i="3" s="1"/>
  <c r="K10" i="3"/>
  <c r="K9" i="3"/>
  <c r="K105" i="3" l="1"/>
  <c r="L14" i="3"/>
  <c r="L104" i="3" s="1"/>
  <c r="E14" i="3"/>
  <c r="E15" i="3" s="1"/>
  <c r="E16" i="3"/>
  <c r="E17" i="3" s="1"/>
  <c r="J10" i="3"/>
</calcChain>
</file>

<file path=xl/sharedStrings.xml><?xml version="1.0" encoding="utf-8"?>
<sst xmlns="http://schemas.openxmlformats.org/spreadsheetml/2006/main" count="370" uniqueCount="69">
  <si>
    <t>NIVELES A DECLARAR</t>
  </si>
  <si>
    <t>VITAMINA</t>
  </si>
  <si>
    <t>IDR</t>
  </si>
  <si>
    <t>FORMA COMERCIAL</t>
  </si>
  <si>
    <t>mg/porción</t>
  </si>
  <si>
    <t>UI/gr</t>
  </si>
  <si>
    <t>UI</t>
  </si>
  <si>
    <t>mg/gr</t>
  </si>
  <si>
    <t>mg</t>
  </si>
  <si>
    <t>%</t>
  </si>
  <si>
    <t>AC FOLICO</t>
  </si>
  <si>
    <t xml:space="preserve"> BIOTINA</t>
  </si>
  <si>
    <t>Taurina</t>
  </si>
  <si>
    <t>Maltodextrina</t>
  </si>
  <si>
    <t>AC PANTOTÉNICO</t>
  </si>
  <si>
    <t>Colina</t>
  </si>
  <si>
    <t>µg</t>
  </si>
  <si>
    <t xml:space="preserve"> µgRE</t>
  </si>
  <si>
    <t>UI, mg</t>
  </si>
  <si>
    <t>UI,mg</t>
  </si>
  <si>
    <t>%IDR</t>
  </si>
  <si>
    <t>SOBREDOSIS</t>
  </si>
  <si>
    <t>APORTE VITAMINICO DE LA FORMA COMERCIAL</t>
  </si>
  <si>
    <t>CANTIDAD A AGREGAR</t>
  </si>
  <si>
    <t>g/kg</t>
  </si>
  <si>
    <t>COMPOSICIÓN DE LA PREMEZCLA</t>
  </si>
  <si>
    <t>Porción:</t>
  </si>
  <si>
    <t>Dosis:</t>
  </si>
  <si>
    <t>Uso:</t>
  </si>
  <si>
    <t>COMPOSICIÓN DE LA PREMEZCLA (g/kg)</t>
  </si>
  <si>
    <t>Precio Ingrediente USD/Kg</t>
  </si>
  <si>
    <t>Precio local Ing   USD/Kg</t>
  </si>
  <si>
    <t>Costo ing/Kg de premezcla USD/Kg</t>
  </si>
  <si>
    <t>FORMULACIÓN MANUAL</t>
  </si>
  <si>
    <t>Ca</t>
  </si>
  <si>
    <t>Zn</t>
  </si>
  <si>
    <t>Co</t>
  </si>
  <si>
    <t xml:space="preserve"> A</t>
  </si>
  <si>
    <t>D</t>
  </si>
  <si>
    <t>E</t>
  </si>
  <si>
    <t>K1</t>
  </si>
  <si>
    <t>B1</t>
  </si>
  <si>
    <t>B2</t>
  </si>
  <si>
    <t>B6</t>
  </si>
  <si>
    <t>C</t>
  </si>
  <si>
    <t>NIACINA</t>
  </si>
  <si>
    <t>B12</t>
  </si>
  <si>
    <t>Fe</t>
  </si>
  <si>
    <t>Na</t>
  </si>
  <si>
    <t>Cu</t>
  </si>
  <si>
    <t>Cr</t>
  </si>
  <si>
    <t>F</t>
  </si>
  <si>
    <t>I</t>
  </si>
  <si>
    <t>Mg</t>
  </si>
  <si>
    <t>Mn</t>
  </si>
  <si>
    <t>Mo</t>
  </si>
  <si>
    <t>Se</t>
  </si>
  <si>
    <t>K</t>
  </si>
  <si>
    <t>APORTE ACTIVO DE LA FORMA COMERCIAL</t>
  </si>
  <si>
    <t>Costo TOTAL</t>
  </si>
  <si>
    <t>IDR Mercosur</t>
  </si>
  <si>
    <t>g</t>
  </si>
  <si>
    <t>0</t>
  </si>
  <si>
    <t>P</t>
  </si>
  <si>
    <t>POTENCIAL (Kg)</t>
  </si>
  <si>
    <t xml:space="preserve">PREMEZCLA PARA EL ENRIQUECIMIENTO DE: </t>
  </si>
  <si>
    <t xml:space="preserve">DISEÑADA PARA </t>
  </si>
  <si>
    <t>CÓDIGO: Sin código</t>
  </si>
  <si>
    <t>FECHA: 8/8/2018 11:15:13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</si>
</sst>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_)"/>
    <numFmt numFmtId="165" formatCode="0.0000"/>
    <numFmt numFmtId="166" formatCode="0.000_)"/>
    <numFmt numFmtId="167" formatCode="0.000"/>
    <numFmt numFmtId="168" formatCode="#,##0.000"/>
    <numFmt numFmtId="169" formatCode="0.00;[Red]0.00"/>
  </numFmts>
  <fonts count="13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8"/>
      <color theme="1" tint="0.34998626667073579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0" xfId="0" applyAlignment="1">
      <alignment wrapText="1"/>
    </xf>
    <xf numFmtId="0" fontId="1" fillId="2" borderId="2" xfId="0" applyFont="1" applyFill="1" applyBorder="1" applyProtection="1"/>
    <xf numFmtId="0" fontId="1" fillId="2" borderId="2" xfId="0" applyFont="1" applyFill="1" applyBorder="1" applyAlignment="1" applyProtection="1">
      <alignment horizontal="center"/>
    </xf>
    <xf numFmtId="164" fontId="2" fillId="2" borderId="0" xfId="0" applyNumberFormat="1" applyFont="1" applyFill="1" applyProtection="1">
      <protection locked="0"/>
    </xf>
    <xf numFmtId="0" fontId="1" fillId="2" borderId="5" xfId="0" applyFont="1" applyFill="1" applyBorder="1" applyProtection="1"/>
    <xf numFmtId="0" fontId="1" fillId="2" borderId="5" xfId="0" applyFont="1" applyFill="1" applyBorder="1" applyAlignment="1" applyProtection="1">
      <alignment horizontal="center"/>
    </xf>
    <xf numFmtId="164" fontId="2" fillId="2" borderId="5" xfId="0" applyNumberFormat="1" applyFont="1" applyFill="1" applyBorder="1" applyProtection="1">
      <protection locked="0"/>
    </xf>
    <xf numFmtId="164" fontId="1" fillId="2" borderId="2" xfId="0" applyNumberFormat="1" applyFont="1" applyFill="1" applyBorder="1" applyProtection="1">
      <protection locked="0"/>
    </xf>
    <xf numFmtId="164" fontId="1" fillId="2" borderId="5" xfId="0" applyNumberFormat="1" applyFont="1" applyFill="1" applyBorder="1" applyProtection="1">
      <protection locked="0"/>
    </xf>
    <xf numFmtId="0" fontId="0" fillId="2" borderId="0" xfId="0" applyFill="1"/>
    <xf numFmtId="0" fontId="1" fillId="2" borderId="0" xfId="0" applyFont="1" applyFill="1" applyProtection="1"/>
    <xf numFmtId="0" fontId="1" fillId="2" borderId="0" xfId="0" applyFont="1" applyFill="1" applyAlignment="1" applyProtection="1">
      <alignment horizontal="center"/>
    </xf>
    <xf numFmtId="0" fontId="2" fillId="2" borderId="0" xfId="0" applyFont="1" applyFill="1" applyProtection="1">
      <protection locked="0"/>
    </xf>
    <xf numFmtId="0" fontId="1" fillId="2" borderId="0" xfId="0" applyFont="1" applyFill="1" applyAlignment="1" applyProtection="1">
      <alignment wrapText="1"/>
    </xf>
    <xf numFmtId="0" fontId="0" fillId="2" borderId="0" xfId="0" applyFill="1" applyAlignment="1">
      <alignment wrapText="1"/>
    </xf>
    <xf numFmtId="165" fontId="2" fillId="2" borderId="0" xfId="0" applyNumberFormat="1" applyFont="1" applyFill="1" applyProtection="1">
      <protection locked="0"/>
    </xf>
    <xf numFmtId="165" fontId="1" fillId="2" borderId="0" xfId="0" applyNumberFormat="1" applyFont="1" applyFill="1" applyProtection="1">
      <protection locked="0"/>
    </xf>
    <xf numFmtId="0" fontId="1" fillId="2" borderId="0" xfId="0" applyFont="1" applyFill="1" applyBorder="1" applyProtection="1"/>
    <xf numFmtId="0" fontId="1" fillId="2" borderId="15" xfId="0" applyFont="1" applyFill="1" applyBorder="1" applyAlignment="1" applyProtection="1">
      <alignment horizontal="left"/>
    </xf>
    <xf numFmtId="0" fontId="1" fillId="2" borderId="16" xfId="0" applyFont="1" applyFill="1" applyBorder="1" applyProtection="1"/>
    <xf numFmtId="0" fontId="1" fillId="2" borderId="17" xfId="0" applyFont="1" applyFill="1" applyBorder="1" applyProtection="1"/>
    <xf numFmtId="0" fontId="1" fillId="2" borderId="18" xfId="0" applyFont="1" applyFill="1" applyBorder="1" applyAlignment="1" applyProtection="1">
      <alignment horizontal="left"/>
    </xf>
    <xf numFmtId="0" fontId="1" fillId="2" borderId="19" xfId="0" applyFont="1" applyFill="1" applyBorder="1" applyProtection="1"/>
    <xf numFmtId="0" fontId="1" fillId="2" borderId="21" xfId="0" applyFont="1" applyFill="1" applyBorder="1" applyProtection="1"/>
    <xf numFmtId="0" fontId="1" fillId="2" borderId="22" xfId="0" applyFont="1" applyFill="1" applyBorder="1" applyProtection="1"/>
    <xf numFmtId="0" fontId="1" fillId="2" borderId="0" xfId="0" applyFont="1" applyFill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</xf>
    <xf numFmtId="1" fontId="0" fillId="0" borderId="0" xfId="0" applyNumberFormat="1"/>
    <xf numFmtId="0" fontId="1" fillId="2" borderId="8" xfId="0" applyFont="1" applyFill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164" fontId="1" fillId="2" borderId="8" xfId="0" applyNumberFormat="1" applyFont="1" applyFill="1" applyBorder="1" applyAlignment="1" applyProtection="1">
      <alignment vertical="center"/>
    </xf>
    <xf numFmtId="0" fontId="0" fillId="2" borderId="8" xfId="0" applyFill="1" applyBorder="1" applyAlignment="1">
      <alignment vertical="center"/>
    </xf>
    <xf numFmtId="165" fontId="1" fillId="2" borderId="0" xfId="0" applyNumberFormat="1" applyFont="1" applyFill="1" applyAlignment="1" applyProtection="1">
      <alignment vertical="center"/>
      <protection locked="0"/>
    </xf>
    <xf numFmtId="165" fontId="2" fillId="2" borderId="0" xfId="0" applyNumberFormat="1" applyFont="1" applyFill="1" applyAlignment="1" applyProtection="1">
      <alignment vertical="center"/>
      <protection locked="0"/>
    </xf>
    <xf numFmtId="0" fontId="1" fillId="2" borderId="13" xfId="0" applyFont="1" applyFill="1" applyBorder="1" applyProtection="1"/>
    <xf numFmtId="164" fontId="1" fillId="2" borderId="0" xfId="0" applyNumberFormat="1" applyFont="1" applyFill="1" applyBorder="1" applyProtection="1"/>
    <xf numFmtId="0" fontId="1" fillId="2" borderId="14" xfId="0" applyFont="1" applyFill="1" applyBorder="1" applyProtection="1"/>
    <xf numFmtId="0" fontId="1" fillId="2" borderId="4" xfId="0" applyFont="1" applyFill="1" applyBorder="1" applyProtection="1"/>
    <xf numFmtId="164" fontId="1" fillId="2" borderId="5" xfId="0" applyNumberFormat="1" applyFont="1" applyFill="1" applyBorder="1" applyProtection="1"/>
    <xf numFmtId="164" fontId="1" fillId="2" borderId="0" xfId="0" applyNumberFormat="1" applyFont="1" applyFill="1" applyProtection="1"/>
    <xf numFmtId="164" fontId="2" fillId="2" borderId="2" xfId="0" applyNumberFormat="1" applyFont="1" applyFill="1" applyBorder="1" applyProtection="1">
      <protection locked="0"/>
    </xf>
    <xf numFmtId="0" fontId="1" fillId="0" borderId="11" xfId="0" applyFont="1" applyBorder="1" applyProtection="1"/>
    <xf numFmtId="0" fontId="1" fillId="0" borderId="11" xfId="0" applyFont="1" applyBorder="1" applyAlignment="1" applyProtection="1">
      <alignment horizontal="center"/>
    </xf>
    <xf numFmtId="0" fontId="1" fillId="0" borderId="11" xfId="0" applyFont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5" xfId="0" applyFont="1" applyFill="1" applyBorder="1" applyAlignment="1" applyProtection="1">
      <alignment horizontal="center" vertical="center"/>
    </xf>
    <xf numFmtId="0" fontId="0" fillId="2" borderId="5" xfId="0" applyFill="1" applyBorder="1" applyAlignment="1">
      <alignment vertical="center"/>
    </xf>
    <xf numFmtId="164" fontId="1" fillId="2" borderId="5" xfId="0" applyNumberFormat="1" applyFont="1" applyFill="1" applyBorder="1" applyAlignment="1" applyProtection="1">
      <alignment vertical="center"/>
      <protection locked="0"/>
    </xf>
    <xf numFmtId="0" fontId="0" fillId="2" borderId="2" xfId="0" applyFill="1" applyBorder="1"/>
    <xf numFmtId="0" fontId="1" fillId="2" borderId="2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3" fillId="2" borderId="0" xfId="0" applyFont="1" applyFill="1" applyBorder="1"/>
    <xf numFmtId="0" fontId="1" fillId="2" borderId="1" xfId="0" applyFont="1" applyFill="1" applyBorder="1" applyProtection="1"/>
    <xf numFmtId="0" fontId="1" fillId="2" borderId="4" xfId="0" applyFont="1" applyFill="1" applyBorder="1" applyAlignment="1" applyProtection="1">
      <alignment vertical="center"/>
    </xf>
    <xf numFmtId="0" fontId="1" fillId="2" borderId="7" xfId="0" applyFont="1" applyFill="1" applyBorder="1" applyAlignment="1" applyProtection="1">
      <alignment vertical="center"/>
    </xf>
    <xf numFmtId="164" fontId="1" fillId="2" borderId="4" xfId="0" applyNumberFormat="1" applyFont="1" applyFill="1" applyBorder="1" applyProtection="1"/>
    <xf numFmtId="164" fontId="1" fillId="2" borderId="6" xfId="0" applyNumberFormat="1" applyFont="1" applyFill="1" applyBorder="1" applyProtection="1"/>
    <xf numFmtId="0" fontId="1" fillId="2" borderId="3" xfId="0" applyFont="1" applyFill="1" applyBorder="1" applyProtection="1"/>
    <xf numFmtId="164" fontId="2" fillId="2" borderId="6" xfId="0" applyNumberFormat="1" applyFont="1" applyFill="1" applyBorder="1" applyProtection="1">
      <protection locked="0"/>
    </xf>
    <xf numFmtId="0" fontId="0" fillId="2" borderId="13" xfId="0" applyFill="1" applyBorder="1"/>
    <xf numFmtId="0" fontId="0" fillId="2" borderId="0" xfId="0" applyFill="1" applyBorder="1"/>
    <xf numFmtId="0" fontId="0" fillId="2" borderId="14" xfId="0" applyFill="1" applyBorder="1"/>
    <xf numFmtId="0" fontId="1" fillId="2" borderId="0" xfId="0" applyFont="1" applyFill="1" applyBorder="1" applyAlignment="1" applyProtection="1">
      <alignment horizontal="center"/>
    </xf>
    <xf numFmtId="165" fontId="2" fillId="2" borderId="3" xfId="0" applyNumberFormat="1" applyFont="1" applyFill="1" applyBorder="1" applyAlignment="1" applyProtection="1">
      <alignment horizontal="center" vertical="center"/>
      <protection locked="0"/>
    </xf>
    <xf numFmtId="165" fontId="2" fillId="2" borderId="14" xfId="0" applyNumberFormat="1" applyFont="1" applyFill="1" applyBorder="1" applyAlignment="1" applyProtection="1">
      <alignment horizontal="center" vertical="center"/>
      <protection locked="0"/>
    </xf>
    <xf numFmtId="165" fontId="2" fillId="2" borderId="9" xfId="0" applyNumberFormat="1" applyFont="1" applyFill="1" applyBorder="1" applyAlignment="1" applyProtection="1">
      <alignment horizontal="center" vertical="center"/>
      <protection locked="0"/>
    </xf>
    <xf numFmtId="165" fontId="2" fillId="2" borderId="6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Font="1" applyFill="1"/>
    <xf numFmtId="0" fontId="0" fillId="0" borderId="0" xfId="0" applyBorder="1" applyAlignment="1">
      <alignment horizontal="center" vertical="center" wrapText="1"/>
    </xf>
    <xf numFmtId="2" fontId="0" fillId="0" borderId="0" xfId="0" applyNumberFormat="1"/>
    <xf numFmtId="166" fontId="1" fillId="2" borderId="8" xfId="0" applyNumberFormat="1" applyFont="1" applyFill="1" applyBorder="1" applyAlignment="1" applyProtection="1">
      <alignment vertical="center"/>
    </xf>
    <xf numFmtId="167" fontId="0" fillId="0" borderId="0" xfId="0" applyNumberFormat="1"/>
    <xf numFmtId="10" fontId="0" fillId="0" borderId="0" xfId="0" applyNumberFormat="1"/>
    <xf numFmtId="9" fontId="0" fillId="0" borderId="0" xfId="0" applyNumberFormat="1"/>
    <xf numFmtId="0" fontId="1" fillId="2" borderId="2" xfId="0" applyFont="1" applyFill="1" applyBorder="1" applyAlignment="1" applyProtection="1">
      <alignment horizontal="center"/>
      <protection hidden="1"/>
    </xf>
    <xf numFmtId="165" fontId="1" fillId="2" borderId="0" xfId="0" applyNumberFormat="1" applyFont="1" applyFill="1" applyProtection="1">
      <protection hidden="1"/>
    </xf>
    <xf numFmtId="0" fontId="1" fillId="2" borderId="5" xfId="0" applyFont="1" applyFill="1" applyBorder="1" applyAlignment="1" applyProtection="1">
      <alignment horizontal="center"/>
      <protection hidden="1"/>
    </xf>
    <xf numFmtId="0" fontId="1" fillId="2" borderId="5" xfId="0" applyFont="1" applyFill="1" applyBorder="1" applyAlignment="1" applyProtection="1">
      <alignment horizontal="center" vertical="center"/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2" fontId="1" fillId="2" borderId="16" xfId="0" applyNumberFormat="1" applyFont="1" applyFill="1" applyBorder="1" applyAlignment="1" applyProtection="1">
      <alignment horizontal="right"/>
    </xf>
    <xf numFmtId="2" fontId="1" fillId="2" borderId="0" xfId="0" applyNumberFormat="1" applyFont="1" applyFill="1" applyBorder="1" applyAlignment="1" applyProtection="1">
      <alignment horizontal="right"/>
    </xf>
    <xf numFmtId="0" fontId="9" fillId="2" borderId="0" xfId="0" applyFont="1" applyFill="1" applyProtection="1"/>
    <xf numFmtId="4" fontId="1" fillId="2" borderId="8" xfId="0" applyNumberFormat="1" applyFont="1" applyFill="1" applyBorder="1" applyAlignment="1" applyProtection="1">
      <alignment horizontal="right" vertical="center"/>
    </xf>
    <xf numFmtId="168" fontId="1" fillId="2" borderId="8" xfId="0" applyNumberFormat="1" applyFont="1" applyFill="1" applyBorder="1" applyAlignment="1" applyProtection="1">
      <alignment horizontal="right" vertical="center"/>
    </xf>
    <xf numFmtId="4" fontId="1" fillId="2" borderId="8" xfId="0" applyNumberFormat="1" applyFont="1" applyFill="1" applyBorder="1" applyAlignment="1" applyProtection="1">
      <alignment vertical="center"/>
    </xf>
    <xf numFmtId="2" fontId="1" fillId="2" borderId="8" xfId="0" applyNumberFormat="1" applyFont="1" applyFill="1" applyBorder="1" applyAlignment="1" applyProtection="1">
      <alignment vertical="center"/>
    </xf>
    <xf numFmtId="0" fontId="1" fillId="0" borderId="10" xfId="0" applyFont="1" applyBorder="1" applyAlignment="1" applyProtection="1">
      <alignment horizontal="center" vertical="center" wrapText="1"/>
    </xf>
    <xf numFmtId="0" fontId="1" fillId="2" borderId="20" xfId="0" applyFont="1" applyFill="1" applyBorder="1" applyAlignment="1" applyProtection="1">
      <alignment horizontal="left"/>
    </xf>
    <xf numFmtId="169" fontId="1" fillId="2" borderId="8" xfId="0" applyNumberFormat="1" applyFont="1" applyFill="1" applyBorder="1" applyAlignment="1" applyProtection="1">
      <alignment horizontal="center" vertical="center"/>
    </xf>
    <xf numFmtId="169" fontId="1" fillId="2" borderId="2" xfId="0" applyNumberFormat="1" applyFont="1" applyFill="1" applyBorder="1" applyAlignment="1" applyProtection="1">
      <alignment horizontal="center"/>
    </xf>
    <xf numFmtId="169" fontId="1" fillId="2" borderId="5" xfId="0" applyNumberFormat="1" applyFont="1" applyFill="1" applyBorder="1" applyAlignment="1" applyProtection="1">
      <alignment horizontal="center"/>
    </xf>
    <xf numFmtId="169" fontId="1" fillId="2" borderId="5" xfId="0" applyNumberFormat="1" applyFont="1" applyFill="1" applyBorder="1" applyAlignment="1" applyProtection="1">
      <alignment horizontal="center" vertical="center"/>
    </xf>
    <xf numFmtId="2" fontId="1" fillId="2" borderId="21" xfId="0" applyNumberFormat="1" applyFont="1" applyFill="1" applyBorder="1" applyAlignment="1" applyProtection="1">
      <alignment horizontal="right"/>
    </xf>
    <xf numFmtId="0" fontId="0" fillId="4" borderId="24" xfId="0" applyFill="1" applyBorder="1"/>
    <xf numFmtId="0" fontId="0" fillId="0" borderId="0" xfId="0" applyNumberFormat="1"/>
    <xf numFmtId="167" fontId="0" fillId="4" borderId="25" xfId="0" applyNumberFormat="1" applyFill="1" applyBorder="1"/>
    <xf numFmtId="0" fontId="1" fillId="2" borderId="5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7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wrapText="1"/>
    </xf>
    <xf numFmtId="0" fontId="11" fillId="0" borderId="0" xfId="0" applyFont="1" applyBorder="1" applyAlignment="1">
      <alignment horizontal="left" vertical="center" wrapText="1"/>
    </xf>
    <xf numFmtId="14" fontId="12" fillId="0" borderId="0" xfId="0" applyNumberFormat="1" applyFont="1"/>
    <xf numFmtId="0" fontId="12" fillId="0" borderId="0" xfId="0" applyFont="1"/>
    <xf numFmtId="0" fontId="3" fillId="0" borderId="0" xfId="0" applyFont="1"/>
    <xf numFmtId="14" fontId="3" fillId="0" borderId="0" xfId="0" applyNumberFormat="1" applyFont="1"/>
    <xf numFmtId="0" fontId="1" fillId="0" borderId="10" xfId="0" applyFont="1" applyBorder="1" applyAlignment="1" applyProtection="1">
      <alignment horizontal="center" vertical="center" wrapText="1"/>
    </xf>
    <xf numFmtId="0" fontId="1" fillId="2" borderId="20" xfId="0" applyFont="1" applyFill="1" applyBorder="1" applyAlignment="1" applyProtection="1">
      <alignment horizontal="left"/>
    </xf>
    <xf numFmtId="22" fontId="1" fillId="2" borderId="18" xfId="0" applyNumberFormat="1" applyFont="1" applyFill="1" applyBorder="1" applyAlignment="1" applyProtection="1">
      <alignment horizontal="left"/>
    </xf>
    <xf numFmtId="22" fontId="1" fillId="2" borderId="0" xfId="0" applyNumberFormat="1" applyFont="1" applyFill="1" applyBorder="1" applyAlignment="1" applyProtection="1">
      <alignment horizontal="left"/>
    </xf>
    <xf numFmtId="22" fontId="1" fillId="2" borderId="19" xfId="0" applyNumberFormat="1" applyFont="1" applyFill="1" applyBorder="1" applyAlignment="1" applyProtection="1">
      <alignment horizontal="left"/>
    </xf>
    <xf numFmtId="0" fontId="1" fillId="2" borderId="18" xfId="0" applyFont="1" applyFill="1" applyBorder="1" applyAlignment="1" applyProtection="1">
      <alignment horizontal="left" vertical="center"/>
    </xf>
    <xf numFmtId="0" fontId="1" fillId="2" borderId="0" xfId="0" applyFont="1" applyFill="1" applyBorder="1" applyAlignment="1" applyProtection="1">
      <alignment horizontal="left" vertical="center"/>
    </xf>
    <xf numFmtId="0" fontId="1" fillId="2" borderId="19" xfId="0" applyFont="1" applyFill="1" applyBorder="1" applyAlignment="1" applyProtection="1">
      <alignment horizontal="left" vertical="center"/>
    </xf>
    <xf numFmtId="0" fontId="5" fillId="2" borderId="15" xfId="0" applyFont="1" applyFill="1" applyBorder="1" applyAlignment="1" applyProtection="1">
      <alignment horizontal="left" vertical="center"/>
    </xf>
    <xf numFmtId="0" fontId="5" fillId="2" borderId="16" xfId="0" applyFont="1" applyFill="1" applyBorder="1" applyAlignment="1" applyProtection="1">
      <alignment horizontal="left" vertical="center"/>
    </xf>
    <xf numFmtId="0" fontId="5" fillId="2" borderId="17" xfId="0" applyFont="1" applyFill="1" applyBorder="1" applyAlignment="1" applyProtection="1">
      <alignment horizontal="left" vertical="center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8" fillId="2" borderId="0" xfId="0" applyFont="1" applyFill="1" applyAlignment="1" applyProtection="1">
      <alignment horizontal="center" vertical="center"/>
    </xf>
    <xf numFmtId="0" fontId="8" fillId="2" borderId="5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23" xfId="0" applyFont="1" applyBorder="1" applyAlignment="1" applyProtection="1">
      <alignment horizontal="center" vertical="center" wrapText="1"/>
    </xf>
    <xf numFmtId="0" fontId="1" fillId="2" borderId="20" xfId="0" applyFont="1" applyFill="1" applyBorder="1" applyAlignment="1" applyProtection="1">
      <alignment horizontal="left"/>
    </xf>
    <xf numFmtId="0" fontId="1" fillId="2" borderId="21" xfId="0" applyFont="1" applyFill="1" applyBorder="1" applyAlignment="1" applyProtection="1">
      <alignment horizontal="left"/>
    </xf>
    <xf numFmtId="0" fontId="1" fillId="2" borderId="22" xfId="0" applyFont="1" applyFill="1" applyBorder="1" applyAlignment="1" applyProtection="1">
      <alignment horizontal="left"/>
    </xf>
    <xf numFmtId="0" fontId="0" fillId="0" borderId="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left" vertical="center"/>
    </xf>
    <xf numFmtId="0" fontId="7" fillId="2" borderId="16" xfId="0" applyFont="1" applyFill="1" applyBorder="1" applyAlignment="1">
      <alignment horizontal="left" vertical="center"/>
    </xf>
    <xf numFmtId="0" fontId="7" fillId="2" borderId="17" xfId="0" applyFont="1" applyFill="1" applyBorder="1" applyAlignment="1">
      <alignment horizontal="left" vertical="center"/>
    </xf>
    <xf numFmtId="0" fontId="0" fillId="2" borderId="18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0" fillId="2" borderId="19" xfId="0" applyFont="1" applyFill="1" applyBorder="1" applyAlignment="1">
      <alignment horizontal="left" vertical="center"/>
    </xf>
    <xf numFmtId="0" fontId="0" fillId="2" borderId="20" xfId="0" applyFont="1" applyFill="1" applyBorder="1" applyAlignment="1">
      <alignment horizontal="left" vertical="center"/>
    </xf>
    <xf numFmtId="0" fontId="0" fillId="2" borderId="21" xfId="0" applyFont="1" applyFill="1" applyBorder="1" applyAlignment="1">
      <alignment horizontal="left" vertical="center"/>
    </xf>
    <xf numFmtId="0" fontId="0" fillId="2" borderId="22" xfId="0" applyFont="1" applyFill="1" applyBorder="1" applyAlignment="1">
      <alignment horizontal="left" vertical="center"/>
    </xf>
    <xf numFmtId="0" fontId="0" fillId="0" borderId="2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6" fillId="0" borderId="11" xfId="0" applyNumberFormat="1" applyFont="1" applyBorder="1" applyAlignment="1">
      <alignment horizontal="center" vertical="center" wrapText="1"/>
    </xf>
    <xf numFmtId="0" fontId="0" fillId="0" borderId="23" xfId="0" applyNumberFormat="1" applyBorder="1" applyAlignment="1">
      <alignment horizontal="center" vertical="center" wrapText="1"/>
    </xf>
    <xf numFmtId="0" fontId="0" fillId="0" borderId="1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png"/><Relationship Id="rId1" Type="http://schemas.openxmlformats.org/officeDocument/2006/relationships/image" Target="../media/image4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13.emf"/><Relationship Id="rId18" Type="http://schemas.openxmlformats.org/officeDocument/2006/relationships/image" Target="../media/image24.emf"/><Relationship Id="rId26" Type="http://schemas.openxmlformats.org/officeDocument/2006/relationships/image" Target="../media/image32.emf"/><Relationship Id="rId39" Type="http://schemas.openxmlformats.org/officeDocument/2006/relationships/image" Target="../media/image42.emf"/><Relationship Id="rId3" Type="http://schemas.openxmlformats.org/officeDocument/2006/relationships/image" Target="../media/image22.emf"/><Relationship Id="rId21" Type="http://schemas.openxmlformats.org/officeDocument/2006/relationships/image" Target="../media/image27.emf"/><Relationship Id="rId34" Type="http://schemas.openxmlformats.org/officeDocument/2006/relationships/image" Target="../media/image7.emf"/><Relationship Id="rId42" Type="http://schemas.openxmlformats.org/officeDocument/2006/relationships/image" Target="../media/image43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31.emf"/><Relationship Id="rId33" Type="http://schemas.openxmlformats.org/officeDocument/2006/relationships/image" Target="../media/image39.emf"/><Relationship Id="rId38" Type="http://schemas.openxmlformats.org/officeDocument/2006/relationships/image" Target="../media/image41.emf"/><Relationship Id="rId2" Type="http://schemas.openxmlformats.org/officeDocument/2006/relationships/image" Target="../media/image8.emf"/><Relationship Id="rId16" Type="http://schemas.openxmlformats.org/officeDocument/2006/relationships/image" Target="../media/image10.emf"/><Relationship Id="rId20" Type="http://schemas.openxmlformats.org/officeDocument/2006/relationships/image" Target="../media/image26.emf"/><Relationship Id="rId29" Type="http://schemas.openxmlformats.org/officeDocument/2006/relationships/image" Target="../media/image35.emf"/><Relationship Id="rId41" Type="http://schemas.openxmlformats.org/officeDocument/2006/relationships/image" Target="../media/image2.emf"/><Relationship Id="rId1" Type="http://schemas.openxmlformats.org/officeDocument/2006/relationships/image" Target="../media/image6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30.emf"/><Relationship Id="rId32" Type="http://schemas.openxmlformats.org/officeDocument/2006/relationships/image" Target="../media/image38.emf"/><Relationship Id="rId37" Type="http://schemas.openxmlformats.org/officeDocument/2006/relationships/image" Target="../media/image4.emf"/><Relationship Id="rId40" Type="http://schemas.openxmlformats.org/officeDocument/2006/relationships/image" Target="../media/image3.emf"/><Relationship Id="rId5" Type="http://schemas.openxmlformats.org/officeDocument/2006/relationships/image" Target="../media/image21.emf"/><Relationship Id="rId15" Type="http://schemas.openxmlformats.org/officeDocument/2006/relationships/image" Target="../media/image11.emf"/><Relationship Id="rId23" Type="http://schemas.openxmlformats.org/officeDocument/2006/relationships/image" Target="../media/image29.emf"/><Relationship Id="rId28" Type="http://schemas.openxmlformats.org/officeDocument/2006/relationships/image" Target="../media/image34.emf"/><Relationship Id="rId36" Type="http://schemas.openxmlformats.org/officeDocument/2006/relationships/image" Target="../media/image5.emf"/><Relationship Id="rId10" Type="http://schemas.openxmlformats.org/officeDocument/2006/relationships/image" Target="../media/image16.emf"/><Relationship Id="rId19" Type="http://schemas.openxmlformats.org/officeDocument/2006/relationships/image" Target="../media/image25.emf"/><Relationship Id="rId31" Type="http://schemas.openxmlformats.org/officeDocument/2006/relationships/image" Target="../media/image37.emf"/><Relationship Id="rId4" Type="http://schemas.openxmlformats.org/officeDocument/2006/relationships/image" Target="../media/image23.emf"/><Relationship Id="rId9" Type="http://schemas.openxmlformats.org/officeDocument/2006/relationships/image" Target="../media/image17.emf"/><Relationship Id="rId14" Type="http://schemas.openxmlformats.org/officeDocument/2006/relationships/image" Target="../media/image12.emf"/><Relationship Id="rId22" Type="http://schemas.openxmlformats.org/officeDocument/2006/relationships/image" Target="../media/image28.emf"/><Relationship Id="rId27" Type="http://schemas.openxmlformats.org/officeDocument/2006/relationships/image" Target="../media/image33.emf"/><Relationship Id="rId30" Type="http://schemas.openxmlformats.org/officeDocument/2006/relationships/image" Target="../media/image36.emf"/><Relationship Id="rId35" Type="http://schemas.openxmlformats.org/officeDocument/2006/relationships/image" Target="../media/image40.emf"/><Relationship Id="rId43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0</xdr:row>
          <xdr:rowOff>47625</xdr:rowOff>
        </xdr:from>
        <xdr:to>
          <xdr:col>11</xdr:col>
          <xdr:colOff>352425</xdr:colOff>
          <xdr:row>1</xdr:row>
          <xdr:rowOff>28575</xdr:rowOff>
        </xdr:to>
        <xdr:sp macro="" textlink="">
          <xdr:nvSpPr>
            <xdr:cNvPr id="1107" name="Label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2</xdr:row>
          <xdr:rowOff>76200</xdr:rowOff>
        </xdr:from>
        <xdr:to>
          <xdr:col>11</xdr:col>
          <xdr:colOff>361950</xdr:colOff>
          <xdr:row>3</xdr:row>
          <xdr:rowOff>57150</xdr:rowOff>
        </xdr:to>
        <xdr:sp macro="" textlink="">
          <xdr:nvSpPr>
            <xdr:cNvPr id="1105" name="Label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1</xdr:row>
          <xdr:rowOff>0</xdr:rowOff>
        </xdr:from>
        <xdr:to>
          <xdr:col>11</xdr:col>
          <xdr:colOff>381000</xdr:colOff>
          <xdr:row>2</xdr:row>
          <xdr:rowOff>85725</xdr:rowOff>
        </xdr:to>
        <xdr:sp macro="" textlink="">
          <xdr:nvSpPr>
            <xdr:cNvPr id="1038" name="ComboBox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9</xdr:row>
          <xdr:rowOff>85725</xdr:rowOff>
        </xdr:from>
        <xdr:to>
          <xdr:col>5</xdr:col>
          <xdr:colOff>466725</xdr:colOff>
          <xdr:row>10</xdr:row>
          <xdr:rowOff>104775</xdr:rowOff>
        </xdr:to>
        <xdr:sp macro="" textlink="">
          <xdr:nvSpPr>
            <xdr:cNvPr id="1048" name="Suplement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1</xdr:row>
          <xdr:rowOff>190500</xdr:rowOff>
        </xdr:from>
        <xdr:to>
          <xdr:col>12</xdr:col>
          <xdr:colOff>762000</xdr:colOff>
          <xdr:row>3</xdr:row>
          <xdr:rowOff>85725</xdr:rowOff>
        </xdr:to>
        <xdr:sp macro="" textlink="">
          <xdr:nvSpPr>
            <xdr:cNvPr id="1060" name="bvitamina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447675</xdr:colOff>
          <xdr:row>3</xdr:row>
          <xdr:rowOff>152400</xdr:rowOff>
        </xdr:from>
        <xdr:to>
          <xdr:col>12</xdr:col>
          <xdr:colOff>781050</xdr:colOff>
          <xdr:row>5</xdr:row>
          <xdr:rowOff>38100</xdr:rowOff>
        </xdr:to>
        <xdr:sp macro="" textlink="">
          <xdr:nvSpPr>
            <xdr:cNvPr id="1061" name="bvitaminab1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104775</xdr:rowOff>
        </xdr:from>
        <xdr:to>
          <xdr:col>12</xdr:col>
          <xdr:colOff>781050</xdr:colOff>
          <xdr:row>6</xdr:row>
          <xdr:rowOff>190500</xdr:rowOff>
        </xdr:to>
        <xdr:sp macro="" textlink="">
          <xdr:nvSpPr>
            <xdr:cNvPr id="1062" name="bvitaminaB2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7</xdr:row>
          <xdr:rowOff>66675</xdr:rowOff>
        </xdr:from>
        <xdr:to>
          <xdr:col>12</xdr:col>
          <xdr:colOff>762000</xdr:colOff>
          <xdr:row>8</xdr:row>
          <xdr:rowOff>152400</xdr:rowOff>
        </xdr:to>
        <xdr:sp macro="" textlink="">
          <xdr:nvSpPr>
            <xdr:cNvPr id="1063" name="bvitaminaB3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9</xdr:row>
          <xdr:rowOff>28575</xdr:rowOff>
        </xdr:from>
        <xdr:to>
          <xdr:col>12</xdr:col>
          <xdr:colOff>762000</xdr:colOff>
          <xdr:row>10</xdr:row>
          <xdr:rowOff>104775</xdr:rowOff>
        </xdr:to>
        <xdr:sp macro="" textlink="">
          <xdr:nvSpPr>
            <xdr:cNvPr id="1064" name="bvitaminaB5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180975</xdr:rowOff>
        </xdr:from>
        <xdr:to>
          <xdr:col>13</xdr:col>
          <xdr:colOff>333375</xdr:colOff>
          <xdr:row>3</xdr:row>
          <xdr:rowOff>76200</xdr:rowOff>
        </xdr:to>
        <xdr:sp macro="" textlink="">
          <xdr:nvSpPr>
            <xdr:cNvPr id="1065" name="bvitaminaB6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838200</xdr:colOff>
          <xdr:row>3</xdr:row>
          <xdr:rowOff>152400</xdr:rowOff>
        </xdr:from>
        <xdr:to>
          <xdr:col>13</xdr:col>
          <xdr:colOff>323850</xdr:colOff>
          <xdr:row>5</xdr:row>
          <xdr:rowOff>38100</xdr:rowOff>
        </xdr:to>
        <xdr:sp macro="" textlink="">
          <xdr:nvSpPr>
            <xdr:cNvPr id="1066" name="bvitaminaB8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838200</xdr:colOff>
          <xdr:row>5</xdr:row>
          <xdr:rowOff>104775</xdr:rowOff>
        </xdr:from>
        <xdr:to>
          <xdr:col>13</xdr:col>
          <xdr:colOff>323850</xdr:colOff>
          <xdr:row>6</xdr:row>
          <xdr:rowOff>190500</xdr:rowOff>
        </xdr:to>
        <xdr:sp macro="" textlink="">
          <xdr:nvSpPr>
            <xdr:cNvPr id="1067" name="bvitaminaB9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57150</xdr:rowOff>
        </xdr:from>
        <xdr:to>
          <xdr:col>13</xdr:col>
          <xdr:colOff>342900</xdr:colOff>
          <xdr:row>8</xdr:row>
          <xdr:rowOff>142875</xdr:rowOff>
        </xdr:to>
        <xdr:sp macro="" textlink="">
          <xdr:nvSpPr>
            <xdr:cNvPr id="1068" name="bvitaminaB12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19050</xdr:rowOff>
        </xdr:from>
        <xdr:to>
          <xdr:col>13</xdr:col>
          <xdr:colOff>342900</xdr:colOff>
          <xdr:row>10</xdr:row>
          <xdr:rowOff>95250</xdr:rowOff>
        </xdr:to>
        <xdr:sp macro="" textlink="">
          <xdr:nvSpPr>
            <xdr:cNvPr id="1069" name="bvitaminaC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400050</xdr:colOff>
          <xdr:row>1</xdr:row>
          <xdr:rowOff>180975</xdr:rowOff>
        </xdr:from>
        <xdr:to>
          <xdr:col>13</xdr:col>
          <xdr:colOff>742950</xdr:colOff>
          <xdr:row>3</xdr:row>
          <xdr:rowOff>76200</xdr:rowOff>
        </xdr:to>
        <xdr:sp macro="" textlink="">
          <xdr:nvSpPr>
            <xdr:cNvPr id="1070" name="bvitamina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3</xdr:row>
          <xdr:rowOff>142875</xdr:rowOff>
        </xdr:from>
        <xdr:to>
          <xdr:col>13</xdr:col>
          <xdr:colOff>733425</xdr:colOff>
          <xdr:row>5</xdr:row>
          <xdr:rowOff>28575</xdr:rowOff>
        </xdr:to>
        <xdr:sp macro="" textlink="">
          <xdr:nvSpPr>
            <xdr:cNvPr id="1071" name="bvitaminaE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5</xdr:row>
          <xdr:rowOff>104775</xdr:rowOff>
        </xdr:from>
        <xdr:to>
          <xdr:col>13</xdr:col>
          <xdr:colOff>733425</xdr:colOff>
          <xdr:row>6</xdr:row>
          <xdr:rowOff>190500</xdr:rowOff>
        </xdr:to>
        <xdr:sp macro="" textlink="">
          <xdr:nvSpPr>
            <xdr:cNvPr id="1072" name="bvitaminaK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28575</xdr:rowOff>
        </xdr:from>
        <xdr:to>
          <xdr:col>14</xdr:col>
          <xdr:colOff>9525</xdr:colOff>
          <xdr:row>11</xdr:row>
          <xdr:rowOff>0</xdr:rowOff>
        </xdr:to>
        <xdr:sp macro="" textlink="">
          <xdr:nvSpPr>
            <xdr:cNvPr id="1073" name="Cuadro de grupo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Vitaminas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2</xdr:row>
          <xdr:rowOff>0</xdr:rowOff>
        </xdr:from>
        <xdr:to>
          <xdr:col>14</xdr:col>
          <xdr:colOff>514350</xdr:colOff>
          <xdr:row>3</xdr:row>
          <xdr:rowOff>85725</xdr:rowOff>
        </xdr:to>
        <xdr:sp macro="" textlink="">
          <xdr:nvSpPr>
            <xdr:cNvPr id="1075" name="bcalcio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3</xdr:row>
          <xdr:rowOff>142875</xdr:rowOff>
        </xdr:from>
        <xdr:to>
          <xdr:col>14</xdr:col>
          <xdr:colOff>514350</xdr:colOff>
          <xdr:row>5</xdr:row>
          <xdr:rowOff>28575</xdr:rowOff>
        </xdr:to>
        <xdr:sp macro="" textlink="">
          <xdr:nvSpPr>
            <xdr:cNvPr id="1076" name="bzinc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5</xdr:row>
          <xdr:rowOff>95250</xdr:rowOff>
        </xdr:from>
        <xdr:to>
          <xdr:col>14</xdr:col>
          <xdr:colOff>514350</xdr:colOff>
          <xdr:row>6</xdr:row>
          <xdr:rowOff>180975</xdr:rowOff>
        </xdr:to>
        <xdr:sp macro="" textlink="">
          <xdr:nvSpPr>
            <xdr:cNvPr id="1077" name="bmanganeso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7</xdr:row>
          <xdr:rowOff>66675</xdr:rowOff>
        </xdr:from>
        <xdr:to>
          <xdr:col>14</xdr:col>
          <xdr:colOff>514350</xdr:colOff>
          <xdr:row>8</xdr:row>
          <xdr:rowOff>152400</xdr:rowOff>
        </xdr:to>
        <xdr:sp macro="" textlink="">
          <xdr:nvSpPr>
            <xdr:cNvPr id="1078" name="bpotasio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9</xdr:row>
          <xdr:rowOff>28575</xdr:rowOff>
        </xdr:from>
        <xdr:to>
          <xdr:col>14</xdr:col>
          <xdr:colOff>514350</xdr:colOff>
          <xdr:row>10</xdr:row>
          <xdr:rowOff>104775</xdr:rowOff>
        </xdr:to>
        <xdr:sp macro="" textlink="">
          <xdr:nvSpPr>
            <xdr:cNvPr id="1079" name="biodo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1</xdr:row>
          <xdr:rowOff>180975</xdr:rowOff>
        </xdr:from>
        <xdr:to>
          <xdr:col>15</xdr:col>
          <xdr:colOff>161925</xdr:colOff>
          <xdr:row>3</xdr:row>
          <xdr:rowOff>76200</xdr:rowOff>
        </xdr:to>
        <xdr:sp macro="" textlink="">
          <xdr:nvSpPr>
            <xdr:cNvPr id="1080" name="bhierro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3</xdr:row>
          <xdr:rowOff>152400</xdr:rowOff>
        </xdr:from>
        <xdr:to>
          <xdr:col>15</xdr:col>
          <xdr:colOff>171450</xdr:colOff>
          <xdr:row>5</xdr:row>
          <xdr:rowOff>38100</xdr:rowOff>
        </xdr:to>
        <xdr:sp macro="" textlink="">
          <xdr:nvSpPr>
            <xdr:cNvPr id="1081" name="bselenio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5</xdr:row>
          <xdr:rowOff>104775</xdr:rowOff>
        </xdr:from>
        <xdr:to>
          <xdr:col>15</xdr:col>
          <xdr:colOff>171450</xdr:colOff>
          <xdr:row>6</xdr:row>
          <xdr:rowOff>190500</xdr:rowOff>
        </xdr:to>
        <xdr:sp macro="" textlink="">
          <xdr:nvSpPr>
            <xdr:cNvPr id="1082" name="bcobr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7</xdr:row>
          <xdr:rowOff>66675</xdr:rowOff>
        </xdr:from>
        <xdr:to>
          <xdr:col>15</xdr:col>
          <xdr:colOff>171450</xdr:colOff>
          <xdr:row>8</xdr:row>
          <xdr:rowOff>152400</xdr:rowOff>
        </xdr:to>
        <xdr:sp macro="" textlink="">
          <xdr:nvSpPr>
            <xdr:cNvPr id="1083" name="bcromo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581025</xdr:colOff>
          <xdr:row>9</xdr:row>
          <xdr:rowOff>19050</xdr:rowOff>
        </xdr:from>
        <xdr:to>
          <xdr:col>15</xdr:col>
          <xdr:colOff>161925</xdr:colOff>
          <xdr:row>10</xdr:row>
          <xdr:rowOff>95250</xdr:rowOff>
        </xdr:to>
        <xdr:sp macro="" textlink="">
          <xdr:nvSpPr>
            <xdr:cNvPr id="1084" name="bmolibdeno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</xdr:row>
          <xdr:rowOff>180975</xdr:rowOff>
        </xdr:from>
        <xdr:to>
          <xdr:col>15</xdr:col>
          <xdr:colOff>571500</xdr:colOff>
          <xdr:row>3</xdr:row>
          <xdr:rowOff>76200</xdr:rowOff>
        </xdr:to>
        <xdr:sp macro="" textlink="">
          <xdr:nvSpPr>
            <xdr:cNvPr id="1085" name="bmagnesio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</xdr:row>
          <xdr:rowOff>142875</xdr:rowOff>
        </xdr:from>
        <xdr:to>
          <xdr:col>15</xdr:col>
          <xdr:colOff>571500</xdr:colOff>
          <xdr:row>5</xdr:row>
          <xdr:rowOff>28575</xdr:rowOff>
        </xdr:to>
        <xdr:sp macro="" textlink="">
          <xdr:nvSpPr>
            <xdr:cNvPr id="1086" name="bcobalto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</xdr:row>
          <xdr:rowOff>104775</xdr:rowOff>
        </xdr:from>
        <xdr:to>
          <xdr:col>15</xdr:col>
          <xdr:colOff>571500</xdr:colOff>
          <xdr:row>6</xdr:row>
          <xdr:rowOff>190500</xdr:rowOff>
        </xdr:to>
        <xdr:sp macro="" textlink="">
          <xdr:nvSpPr>
            <xdr:cNvPr id="1087" name="bsodio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1</xdr:row>
          <xdr:rowOff>28575</xdr:rowOff>
        </xdr:from>
        <xdr:to>
          <xdr:col>15</xdr:col>
          <xdr:colOff>666750</xdr:colOff>
          <xdr:row>11</xdr:row>
          <xdr:rowOff>0</xdr:rowOff>
        </xdr:to>
        <xdr:sp macro="" textlink="">
          <xdr:nvSpPr>
            <xdr:cNvPr id="1088" name="Cuadro de grupo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Minerales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7</xdr:row>
          <xdr:rowOff>66675</xdr:rowOff>
        </xdr:from>
        <xdr:to>
          <xdr:col>15</xdr:col>
          <xdr:colOff>571500</xdr:colOff>
          <xdr:row>8</xdr:row>
          <xdr:rowOff>152400</xdr:rowOff>
        </xdr:to>
        <xdr:sp macro="" textlink="">
          <xdr:nvSpPr>
            <xdr:cNvPr id="1089" name="bfluor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3</xdr:row>
          <xdr:rowOff>0</xdr:rowOff>
        </xdr:from>
        <xdr:to>
          <xdr:col>8</xdr:col>
          <xdr:colOff>219075</xdr:colOff>
          <xdr:row>4</xdr:row>
          <xdr:rowOff>95250</xdr:rowOff>
        </xdr:to>
        <xdr:sp macro="" textlink="">
          <xdr:nvSpPr>
            <xdr:cNvPr id="1090" name="CommandButton1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3</xdr:row>
          <xdr:rowOff>19050</xdr:rowOff>
        </xdr:from>
        <xdr:to>
          <xdr:col>11</xdr:col>
          <xdr:colOff>381000</xdr:colOff>
          <xdr:row>4</xdr:row>
          <xdr:rowOff>66675</xdr:rowOff>
        </xdr:to>
        <xdr:sp macro="" textlink="">
          <xdr:nvSpPr>
            <xdr:cNvPr id="1101" name="ComboBox2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4</xdr:row>
          <xdr:rowOff>57150</xdr:rowOff>
        </xdr:from>
        <xdr:to>
          <xdr:col>12</xdr:col>
          <xdr:colOff>19050</xdr:colOff>
          <xdr:row>5</xdr:row>
          <xdr:rowOff>38100</xdr:rowOff>
        </xdr:to>
        <xdr:sp macro="" textlink="">
          <xdr:nvSpPr>
            <xdr:cNvPr id="1106" name="Label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390525</xdr:colOff>
          <xdr:row>5</xdr:row>
          <xdr:rowOff>19050</xdr:rowOff>
        </xdr:from>
        <xdr:to>
          <xdr:col>12</xdr:col>
          <xdr:colOff>57150</xdr:colOff>
          <xdr:row>6</xdr:row>
          <xdr:rowOff>66675</xdr:rowOff>
        </xdr:to>
        <xdr:sp macro="" textlink="">
          <xdr:nvSpPr>
            <xdr:cNvPr id="1102" name="ComboBox3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9</xdr:row>
          <xdr:rowOff>19050</xdr:rowOff>
        </xdr:from>
        <xdr:to>
          <xdr:col>15</xdr:col>
          <xdr:colOff>571500</xdr:colOff>
          <xdr:row>10</xdr:row>
          <xdr:rowOff>95250</xdr:rowOff>
        </xdr:to>
        <xdr:sp macro="" textlink="">
          <xdr:nvSpPr>
            <xdr:cNvPr id="1147" name="bfosforo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</xdr:row>
          <xdr:rowOff>19050</xdr:rowOff>
        </xdr:from>
        <xdr:to>
          <xdr:col>8</xdr:col>
          <xdr:colOff>209550</xdr:colOff>
          <xdr:row>2</xdr:row>
          <xdr:rowOff>133350</xdr:rowOff>
        </xdr:to>
        <xdr:sp macro="" textlink="">
          <xdr:nvSpPr>
            <xdr:cNvPr id="1150" name="CommandButton2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76200</xdr:rowOff>
        </xdr:from>
        <xdr:to>
          <xdr:col>8</xdr:col>
          <xdr:colOff>266700</xdr:colOff>
          <xdr:row>6</xdr:row>
          <xdr:rowOff>123825</xdr:rowOff>
        </xdr:to>
        <xdr:sp macro="" textlink="">
          <xdr:nvSpPr>
            <xdr:cNvPr id="1153" name="Cuadro de grupo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FORMULACIÓN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6</xdr:row>
          <xdr:rowOff>142875</xdr:rowOff>
        </xdr:from>
        <xdr:to>
          <xdr:col>3</xdr:col>
          <xdr:colOff>142875</xdr:colOff>
          <xdr:row>9</xdr:row>
          <xdr:rowOff>47625</xdr:rowOff>
        </xdr:to>
        <xdr:sp macro="" textlink="">
          <xdr:nvSpPr>
            <xdr:cNvPr id="1155" name="mostrarocult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57150</xdr:rowOff>
        </xdr:from>
        <xdr:to>
          <xdr:col>6</xdr:col>
          <xdr:colOff>657225</xdr:colOff>
          <xdr:row>3</xdr:row>
          <xdr:rowOff>152400</xdr:rowOff>
        </xdr:to>
        <xdr:sp macro="" textlink="">
          <xdr:nvSpPr>
            <xdr:cNvPr id="1159" name="CommandButton3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</xdr:row>
          <xdr:rowOff>104775</xdr:rowOff>
        </xdr:from>
        <xdr:to>
          <xdr:col>11</xdr:col>
          <xdr:colOff>828675</xdr:colOff>
          <xdr:row>9</xdr:row>
          <xdr:rowOff>104775</xdr:rowOff>
        </xdr:to>
        <xdr:sp macro="" textlink="">
          <xdr:nvSpPr>
            <xdr:cNvPr id="1160" name="dosisrecomendada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7</xdr:row>
          <xdr:rowOff>57150</xdr:rowOff>
        </xdr:from>
        <xdr:to>
          <xdr:col>7</xdr:col>
          <xdr:colOff>1743075</xdr:colOff>
          <xdr:row>9</xdr:row>
          <xdr:rowOff>0</xdr:rowOff>
        </xdr:to>
        <xdr:sp macro="" textlink="">
          <xdr:nvSpPr>
            <xdr:cNvPr id="1161" name="CommandButton4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161925</xdr:rowOff>
        </xdr:from>
        <xdr:to>
          <xdr:col>8</xdr:col>
          <xdr:colOff>209550</xdr:colOff>
          <xdr:row>6</xdr:row>
          <xdr:rowOff>47625</xdr:rowOff>
        </xdr:to>
        <xdr:sp macro="" textlink="">
          <xdr:nvSpPr>
            <xdr:cNvPr id="1162" name="CommandButton5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171450</xdr:rowOff>
        </xdr:from>
        <xdr:to>
          <xdr:col>7</xdr:col>
          <xdr:colOff>1866900</xdr:colOff>
          <xdr:row>10</xdr:row>
          <xdr:rowOff>152400</xdr:rowOff>
        </xdr:to>
        <xdr:sp macro="" textlink="">
          <xdr:nvSpPr>
            <xdr:cNvPr id="1163" name="Cuadro de grupo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DOCUMENTO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</xdr:row>
          <xdr:rowOff>19050</xdr:rowOff>
        </xdr:from>
        <xdr:to>
          <xdr:col>7</xdr:col>
          <xdr:colOff>1733550</xdr:colOff>
          <xdr:row>10</xdr:row>
          <xdr:rowOff>133350</xdr:rowOff>
        </xdr:to>
        <xdr:sp macro="" textlink="">
          <xdr:nvSpPr>
            <xdr:cNvPr id="1165" name="CommandButton6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6</xdr:row>
      <xdr:rowOff>66675</xdr:rowOff>
    </xdr:from>
    <xdr:to>
      <xdr:col>0</xdr:col>
      <xdr:colOff>1362710</xdr:colOff>
      <xdr:row>6</xdr:row>
      <xdr:rowOff>530860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057400"/>
          <a:ext cx="1286510" cy="4641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28575</xdr:colOff>
      <xdr:row>0</xdr:row>
      <xdr:rowOff>104775</xdr:rowOff>
    </xdr:from>
    <xdr:to>
      <xdr:col>2</xdr:col>
      <xdr:colOff>419100</xdr:colOff>
      <xdr:row>4</xdr:row>
      <xdr:rowOff>523875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04775"/>
          <a:ext cx="7772400" cy="1133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447675</xdr:colOff>
      <xdr:row>10</xdr:row>
      <xdr:rowOff>85725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43675" cy="199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28575</xdr:rowOff>
        </xdr:from>
        <xdr:to>
          <xdr:col>14</xdr:col>
          <xdr:colOff>9525</xdr:colOff>
          <xdr:row>11</xdr:row>
          <xdr:rowOff>28575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Vitaminas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1</xdr:row>
          <xdr:rowOff>28575</xdr:rowOff>
        </xdr:from>
        <xdr:to>
          <xdr:col>15</xdr:col>
          <xdr:colOff>666750</xdr:colOff>
          <xdr:row>11</xdr:row>
          <xdr:rowOff>28575</xdr:rowOff>
        </xdr:to>
        <xdr:sp macro="" textlink="">
          <xdr:nvSpPr>
            <xdr:cNvPr id="2050" name="Group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Minerales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76200</xdr:rowOff>
        </xdr:from>
        <xdr:to>
          <xdr:col>8</xdr:col>
          <xdr:colOff>266700</xdr:colOff>
          <xdr:row>6</xdr:row>
          <xdr:rowOff>133350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FORMULACIÓN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171450</xdr:rowOff>
        </xdr:from>
        <xdr:to>
          <xdr:col>7</xdr:col>
          <xdr:colOff>1866900</xdr:colOff>
          <xdr:row>10</xdr:row>
          <xdr:rowOff>171450</xdr:rowOff>
        </xdr:to>
        <xdr:sp macro="" textlink="">
          <xdr:nvSpPr>
            <xdr:cNvPr id="2052" name="Group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DOCUMENTO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87" Type="http://schemas.openxmlformats.org/officeDocument/2006/relationships/image" Target="../media/image42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90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9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5"/>
  <sheetViews>
    <sheetView tabSelected="1" zoomScaleNormal="100" workbookViewId="0">
      <selection activeCell="E6" sqref="E6"/>
    </sheetView>
  </sheetViews>
  <sheetFormatPr baseColWidth="10" defaultColWidth="11.42578125" defaultRowHeight="15" x14ac:dyDescent="0.25"/>
  <cols>
    <col min="1" max="1" width="1.5703125" customWidth="1"/>
    <col min="2" max="2" width="18.5703125" customWidth="1"/>
    <col min="4" max="4" width="5.85546875" customWidth="1"/>
    <col min="5" max="5" width="8.5703125" customWidth="1"/>
    <col min="6" max="6" width="7.85546875" customWidth="1"/>
    <col min="7" max="7" width="11.5703125" customWidth="1"/>
    <col min="8" max="8" width="32" customWidth="1"/>
    <col min="9" max="9" width="12.5703125" customWidth="1"/>
    <col min="10" max="10" width="9.5703125" customWidth="1"/>
    <col min="11" max="11" width="14.42578125" customWidth="1"/>
    <col min="12" max="12" width="14" customWidth="1"/>
    <col min="13" max="13" width="12.85546875" customWidth="1"/>
    <col min="14" max="14" width="12.140625" customWidth="1"/>
  </cols>
  <sheetData>
    <row r="1" spans="1:16" s="10" customFormat="1" x14ac:dyDescent="0.25">
      <c r="A1" s="72"/>
      <c r="B1" s="124"/>
      <c r="C1" s="125"/>
      <c r="D1" s="125"/>
      <c r="E1" s="125"/>
      <c r="F1" s="125"/>
      <c r="G1" s="126"/>
      <c r="H1" s="27"/>
      <c r="I1" s="12"/>
      <c r="J1" s="11"/>
      <c r="K1" s="11"/>
      <c r="L1" s="11"/>
      <c r="M1" s="11"/>
    </row>
    <row r="2" spans="1:16" s="10" customFormat="1" x14ac:dyDescent="0.25">
      <c r="A2" s="72"/>
      <c r="B2" s="121"/>
      <c r="C2" s="122"/>
      <c r="D2" s="122"/>
      <c r="E2" s="122"/>
      <c r="F2" s="122"/>
      <c r="G2" s="123"/>
      <c r="H2" s="26"/>
      <c r="I2" s="12"/>
      <c r="J2" s="11"/>
      <c r="K2" s="13"/>
      <c r="L2" s="11"/>
      <c r="M2" s="11"/>
    </row>
    <row r="3" spans="1:16" s="10" customFormat="1" x14ac:dyDescent="0.25">
      <c r="A3" s="72"/>
      <c r="B3" s="118"/>
      <c r="C3" s="119"/>
      <c r="D3" s="119"/>
      <c r="E3" s="119"/>
      <c r="F3" s="119"/>
      <c r="G3" s="120"/>
      <c r="H3" s="11"/>
      <c r="I3" s="12"/>
      <c r="J3" s="11"/>
      <c r="K3" s="4"/>
      <c r="L3" s="11"/>
      <c r="M3" s="11"/>
    </row>
    <row r="4" spans="1:16" s="10" customFormat="1" ht="15.75" thickBot="1" x14ac:dyDescent="0.3">
      <c r="A4" s="72">
        <v>1</v>
      </c>
      <c r="B4" s="142"/>
      <c r="C4" s="143"/>
      <c r="D4" s="143"/>
      <c r="E4" s="143"/>
      <c r="F4" s="143"/>
      <c r="G4" s="144"/>
      <c r="H4" s="86" t="s">
        <v>60</v>
      </c>
      <c r="I4" s="12"/>
      <c r="J4" s="11"/>
      <c r="K4" s="11"/>
      <c r="L4" s="11"/>
      <c r="M4" s="11"/>
    </row>
    <row r="5" spans="1:16" s="10" customFormat="1" x14ac:dyDescent="0.25">
      <c r="B5" s="11"/>
      <c r="C5" s="12"/>
      <c r="D5" s="11"/>
      <c r="E5" s="11"/>
      <c r="F5" s="11"/>
      <c r="G5" s="12"/>
      <c r="H5" s="11"/>
      <c r="I5" s="12"/>
      <c r="J5" s="11"/>
      <c r="K5" s="11"/>
      <c r="L5" s="11"/>
      <c r="M5" s="11"/>
    </row>
    <row r="6" spans="1:16" s="10" customFormat="1" x14ac:dyDescent="0.25">
      <c r="B6" s="11"/>
      <c r="C6" s="12"/>
      <c r="D6" s="11"/>
      <c r="E6" s="11"/>
      <c r="F6" s="18"/>
      <c r="G6" s="67"/>
      <c r="H6" s="18"/>
      <c r="I6" s="67"/>
      <c r="J6" s="18"/>
      <c r="K6" s="18"/>
      <c r="L6" s="18"/>
      <c r="M6" s="11"/>
    </row>
    <row r="7" spans="1:16" s="10" customFormat="1" ht="15.75" thickBot="1" x14ac:dyDescent="0.3">
      <c r="B7" s="11"/>
      <c r="C7" s="12"/>
      <c r="D7" s="11"/>
      <c r="E7" s="11"/>
      <c r="F7" s="11"/>
      <c r="G7" s="12"/>
      <c r="H7" s="11"/>
      <c r="I7" s="12"/>
      <c r="J7" s="11"/>
      <c r="K7" s="11"/>
      <c r="L7" s="11"/>
      <c r="M7" s="11"/>
    </row>
    <row r="8" spans="1:16" s="10" customFormat="1" x14ac:dyDescent="0.25">
      <c r="B8" s="11"/>
      <c r="C8" s="12"/>
      <c r="D8" s="11"/>
      <c r="E8" s="11"/>
      <c r="F8" s="11"/>
      <c r="G8" s="12"/>
      <c r="H8" s="11"/>
      <c r="I8" s="19" t="s">
        <v>26</v>
      </c>
      <c r="J8" s="84">
        <v>100</v>
      </c>
      <c r="K8" s="20" t="s">
        <v>61</v>
      </c>
      <c r="L8" s="21"/>
      <c r="M8" s="11"/>
    </row>
    <row r="9" spans="1:16" s="10" customFormat="1" x14ac:dyDescent="0.25">
      <c r="B9" s="11"/>
      <c r="C9" s="12"/>
      <c r="D9" s="11"/>
      <c r="E9" s="11"/>
      <c r="F9" s="11"/>
      <c r="G9" s="12"/>
      <c r="H9" s="11"/>
      <c r="I9" s="22" t="s">
        <v>27</v>
      </c>
      <c r="J9" s="85">
        <v>1</v>
      </c>
      <c r="K9" s="18" t="str">
        <f>IF(OR(K8="ml",K8="ml (cantidad suficiente para preparar)"),"kg/m3","Kg/t")</f>
        <v>Kg/t</v>
      </c>
      <c r="L9" s="23"/>
      <c r="M9" s="11"/>
    </row>
    <row r="10" spans="1:16" s="10" customFormat="1" ht="15.75" thickBot="1" x14ac:dyDescent="0.3">
      <c r="B10" s="133" t="s">
        <v>33</v>
      </c>
      <c r="C10" s="133"/>
      <c r="D10" s="11"/>
      <c r="E10" s="11"/>
      <c r="F10" s="11"/>
      <c r="G10" s="12"/>
      <c r="H10" s="12"/>
      <c r="I10" s="117" t="s">
        <v>28</v>
      </c>
      <c r="J10" s="97">
        <f>J8*J9</f>
        <v>100</v>
      </c>
      <c r="K10" s="24" t="str">
        <f>IF(OR(K8="ml",K8="ml (cantidad suficiente para preparar)"),"mg/porción","mg/porción")</f>
        <v>mg/porción</v>
      </c>
      <c r="L10" s="25"/>
      <c r="M10" s="11"/>
    </row>
    <row r="11" spans="1:16" s="10" customFormat="1" x14ac:dyDescent="0.25">
      <c r="B11" s="134"/>
      <c r="C11" s="134"/>
      <c r="D11" s="11"/>
      <c r="E11" s="11"/>
      <c r="F11" s="11"/>
      <c r="G11" s="12"/>
      <c r="H11" s="11"/>
      <c r="I11" s="12"/>
      <c r="J11" s="11"/>
      <c r="K11" s="11"/>
      <c r="L11" s="11"/>
      <c r="M11" s="11"/>
    </row>
    <row r="12" spans="1:16" s="1" customFormat="1" ht="51" customHeight="1" x14ac:dyDescent="0.25">
      <c r="A12" s="73">
        <v>0</v>
      </c>
      <c r="B12" s="140" t="s">
        <v>1</v>
      </c>
      <c r="C12" s="136" t="s">
        <v>2</v>
      </c>
      <c r="D12" s="137"/>
      <c r="E12" s="135" t="s">
        <v>0</v>
      </c>
      <c r="F12" s="135"/>
      <c r="G12" s="116" t="s">
        <v>21</v>
      </c>
      <c r="H12" s="131" t="s">
        <v>3</v>
      </c>
      <c r="I12" s="127" t="s">
        <v>22</v>
      </c>
      <c r="J12" s="128"/>
      <c r="K12" s="116" t="s">
        <v>23</v>
      </c>
      <c r="L12" s="116" t="s">
        <v>25</v>
      </c>
      <c r="M12" s="14"/>
      <c r="N12" s="15"/>
      <c r="O12" s="15"/>
      <c r="P12" s="15"/>
    </row>
    <row r="13" spans="1:16" ht="15" customHeight="1" x14ac:dyDescent="0.25">
      <c r="A13" s="73">
        <v>0</v>
      </c>
      <c r="B13" s="141"/>
      <c r="C13" s="138" t="s">
        <v>18</v>
      </c>
      <c r="D13" s="139"/>
      <c r="E13" s="44" t="s">
        <v>19</v>
      </c>
      <c r="F13" s="44" t="s">
        <v>20</v>
      </c>
      <c r="G13" s="45" t="s">
        <v>9</v>
      </c>
      <c r="H13" s="132"/>
      <c r="I13" s="129"/>
      <c r="J13" s="130"/>
      <c r="K13" s="46" t="s">
        <v>4</v>
      </c>
      <c r="L13" s="46" t="s">
        <v>24</v>
      </c>
      <c r="M13" s="11"/>
      <c r="N13" s="10"/>
      <c r="O13" s="10"/>
      <c r="P13" s="10"/>
    </row>
    <row r="14" spans="1:16" x14ac:dyDescent="0.25">
      <c r="A14" s="56">
        <f>IF(H14="",0,1)</f>
        <v>0</v>
      </c>
      <c r="B14" s="57" t="s">
        <v>37</v>
      </c>
      <c r="C14" s="79">
        <f>IF($H$4="Lactante 0-6m",375,IF($H$4="Mujer",500,IF($H$4="Embarazo",800,IF($H$4="Lactancia",850,IF($H$4="Lactante 7-11m",400,IF($H$4="Niño 1-3",400,IF($H$4="Niño 4-6",450,IF($H$4="Niño 7-9",500,IF($H$4="IDR Codex",800,600)))))))))</f>
        <v>600</v>
      </c>
      <c r="D14" s="2" t="s">
        <v>17</v>
      </c>
      <c r="E14" s="52">
        <f>(C14*F14/100)</f>
        <v>0</v>
      </c>
      <c r="F14" s="52"/>
      <c r="G14" s="3" t="s">
        <v>62</v>
      </c>
      <c r="H14" s="2"/>
      <c r="I14" s="94"/>
      <c r="J14" s="2" t="s">
        <v>5</v>
      </c>
      <c r="K14" s="43" t="str">
        <f>IF(I14="","",(E15*(1+G14/100)/I14*1000))</f>
        <v/>
      </c>
      <c r="L14" s="68" t="str">
        <f>IF(K14="","",ROUND((K14*1000/$J$10),2))</f>
        <v/>
      </c>
      <c r="M14" s="16"/>
      <c r="N14" s="10"/>
      <c r="O14" s="10"/>
      <c r="P14" s="10"/>
    </row>
    <row r="15" spans="1:16" x14ac:dyDescent="0.25">
      <c r="A15" s="56">
        <f>A14</f>
        <v>0</v>
      </c>
      <c r="B15" s="40"/>
      <c r="C15" s="81">
        <f>(C14*3.333)</f>
        <v>1999.8000000000002</v>
      </c>
      <c r="D15" s="5" t="s">
        <v>6</v>
      </c>
      <c r="E15" s="53">
        <f>(E14*3.333)</f>
        <v>0</v>
      </c>
      <c r="F15" s="53"/>
      <c r="G15" s="101"/>
      <c r="H15" s="5"/>
      <c r="I15" s="95"/>
      <c r="J15" s="5"/>
      <c r="K15" s="7"/>
      <c r="L15" s="71"/>
      <c r="M15" s="80"/>
      <c r="N15" s="10"/>
      <c r="O15" s="10"/>
      <c r="P15" s="10"/>
    </row>
    <row r="16" spans="1:16" x14ac:dyDescent="0.25">
      <c r="A16" s="56">
        <f>IF(H16="",0,1)</f>
        <v>0</v>
      </c>
      <c r="B16" s="57" t="s">
        <v>38</v>
      </c>
      <c r="C16" s="79">
        <f>IF(OR($H$4="Hombre +65 años",$H$4="Mujer +65 años"),15,5)</f>
        <v>5</v>
      </c>
      <c r="D16" s="51" t="s">
        <v>16</v>
      </c>
      <c r="E16" s="52">
        <f>(C16*F16/100)</f>
        <v>0</v>
      </c>
      <c r="F16" s="52"/>
      <c r="G16" s="3" t="s">
        <v>62</v>
      </c>
      <c r="H16" s="2"/>
      <c r="I16" s="94"/>
      <c r="J16" s="2" t="s">
        <v>5</v>
      </c>
      <c r="K16" s="8" t="str">
        <f>IF(I16="","",(E17*(1+G16/100)/I16*1000))</f>
        <v/>
      </c>
      <c r="L16" s="68" t="str">
        <f>IF(K16="","",ROUND((K16*1000/$J$10),2))</f>
        <v/>
      </c>
      <c r="M16" s="17"/>
      <c r="N16" s="10"/>
      <c r="O16" s="10"/>
      <c r="P16" s="10"/>
    </row>
    <row r="17" spans="1:26" x14ac:dyDescent="0.25">
      <c r="A17" s="56">
        <f>A16</f>
        <v>0</v>
      </c>
      <c r="B17" s="40"/>
      <c r="C17" s="81">
        <f>C16*40</f>
        <v>200</v>
      </c>
      <c r="D17" s="5" t="s">
        <v>6</v>
      </c>
      <c r="E17" s="53">
        <f>(E16*40)</f>
        <v>0</v>
      </c>
      <c r="F17" s="53"/>
      <c r="G17" s="101"/>
      <c r="H17" s="5"/>
      <c r="I17" s="95"/>
      <c r="J17" s="5"/>
      <c r="K17" s="9"/>
      <c r="L17" s="71"/>
      <c r="M17" s="17"/>
      <c r="N17" s="10"/>
      <c r="O17" s="10"/>
      <c r="P17" s="10"/>
    </row>
    <row r="18" spans="1:26" x14ac:dyDescent="0.25">
      <c r="A18" s="56">
        <f>IF(H18="",0,1)</f>
        <v>0</v>
      </c>
      <c r="B18" s="57" t="s">
        <v>39</v>
      </c>
      <c r="C18" s="79">
        <f>IF($H$4="Lactante 0-6m",2.7,IF($H$4="Mujer",7.5,IF($H$4="Embarazo",7.5,IF($H$4="Lactancia",7.5,IF($H$4="Lactante 7-11m",2.7,IF($H$4="Niño 1-3",5,IF($H$4="Niño 4-6",5,IF($H$4="Niño 7-9",7,IF($H$4="Mujer +65 años", 7.5,10)))))))))</f>
        <v>10</v>
      </c>
      <c r="D18" s="2" t="s">
        <v>8</v>
      </c>
      <c r="E18" s="52">
        <f>(C18*F18/100)</f>
        <v>0</v>
      </c>
      <c r="F18" s="52"/>
      <c r="G18" s="3" t="s">
        <v>62</v>
      </c>
      <c r="H18" s="2"/>
      <c r="I18" s="94"/>
      <c r="J18" s="2" t="s">
        <v>7</v>
      </c>
      <c r="K18" s="8" t="str">
        <f>IF(I18="","",(E18*(1+G18/100)/I18*1000))</f>
        <v/>
      </c>
      <c r="L18" s="68" t="str">
        <f>IF(K18="","",ROUND((K18*1000/$J$10),2))</f>
        <v/>
      </c>
      <c r="M18" s="17"/>
      <c r="N18" s="10"/>
      <c r="O18" s="10"/>
      <c r="P18" s="10"/>
    </row>
    <row r="19" spans="1:26" x14ac:dyDescent="0.25">
      <c r="A19" s="56">
        <f>A18</f>
        <v>0</v>
      </c>
      <c r="B19" s="40"/>
      <c r="C19" s="81"/>
      <c r="D19" s="5"/>
      <c r="E19" s="53"/>
      <c r="F19" s="53"/>
      <c r="G19" s="101"/>
      <c r="H19" s="5"/>
      <c r="I19" s="95"/>
      <c r="J19" s="5"/>
      <c r="K19" s="9"/>
      <c r="L19" s="71"/>
      <c r="M19" s="17"/>
      <c r="N19" s="10"/>
      <c r="O19" s="10"/>
      <c r="P19" s="10"/>
    </row>
    <row r="20" spans="1:26" x14ac:dyDescent="0.25">
      <c r="A20" s="56">
        <f>IF(H20="",0,1)</f>
        <v>0</v>
      </c>
      <c r="B20" s="58" t="s">
        <v>40</v>
      </c>
      <c r="C20" s="82">
        <f>IF($H$4="Lactante 0-6m",5,IF($H$4="Mujer",55,IF($H$4="Embarazo",55,IF($H$4="Lactancia",55,IF($H$4="Lactante 7-11m",10,IF($H$4="Niño 1-3",15,IF($H$4="Niño 4-6",20,IF($H$4="Niño 7-9",25,IF($H$4="Mujer +65 años", 55,IF($H$4="IDR Codex",60,65))))))))))</f>
        <v>65</v>
      </c>
      <c r="D20" s="49" t="s">
        <v>16</v>
      </c>
      <c r="E20" s="54">
        <f t="shared" ref="E20:E83" si="0">(C20*F20/100)</f>
        <v>0</v>
      </c>
      <c r="F20" s="54"/>
      <c r="G20" s="48" t="s">
        <v>62</v>
      </c>
      <c r="H20" s="47"/>
      <c r="I20" s="96"/>
      <c r="J20" s="47" t="s">
        <v>7</v>
      </c>
      <c r="K20" s="50" t="str">
        <f>IF(I20="","",(E20*(1+G20/100)/I20*1000)/1000)</f>
        <v/>
      </c>
      <c r="L20" s="69" t="str">
        <f t="shared" ref="L20:L83" si="1">IF(K20="","",ROUND((K20*1000/$J$10),2))</f>
        <v/>
      </c>
      <c r="M20" s="35"/>
      <c r="N20" s="31"/>
      <c r="O20" s="31"/>
      <c r="P20" s="31"/>
      <c r="Q20" s="32"/>
      <c r="R20" s="32"/>
      <c r="S20" s="32"/>
      <c r="T20" s="32"/>
      <c r="U20" s="32"/>
      <c r="V20" s="32"/>
      <c r="W20" s="32"/>
      <c r="X20" s="32"/>
      <c r="Y20" s="32"/>
      <c r="Z20" s="32"/>
    </row>
    <row r="21" spans="1:26" x14ac:dyDescent="0.25">
      <c r="A21" s="56">
        <f t="shared" ref="A21:A84" si="2">IF(H21="",0,1)</f>
        <v>0</v>
      </c>
      <c r="B21" s="59" t="s">
        <v>41</v>
      </c>
      <c r="C21" s="83">
        <f>IF($H$4="Lactante 0-6m",0.2,IF($H$4="Mujer",1.1,IF($H$4="Embarazo",1.4,IF($H$4="Lactancia",1.5,IF($H$4="Lactante 7-11m",0.3,IF($H$4="Niño 1-3",0.5,IF($H$4="Niño 4-6",0.6,IF($H$4="Niño 7-9",0.9,IF($H$4="Mujer +65 años", 1.1,1.2)))))))))</f>
        <v>1.2</v>
      </c>
      <c r="D21" s="30" t="s">
        <v>8</v>
      </c>
      <c r="E21" s="54">
        <f t="shared" si="0"/>
        <v>0</v>
      </c>
      <c r="F21" s="55"/>
      <c r="G21" s="102" t="s">
        <v>62</v>
      </c>
      <c r="H21" s="30"/>
      <c r="I21" s="93"/>
      <c r="J21" s="30" t="s">
        <v>9</v>
      </c>
      <c r="K21" s="75" t="str">
        <f t="shared" ref="K21:K26" si="3">IF(I21="","",(E21*(G21/100+1)/I21*100))</f>
        <v/>
      </c>
      <c r="L21" s="68" t="str">
        <f t="shared" si="1"/>
        <v/>
      </c>
      <c r="M21" s="35"/>
      <c r="N21" s="31"/>
      <c r="O21" s="31"/>
      <c r="P21" s="31"/>
      <c r="Q21" s="32"/>
      <c r="R21" s="32"/>
      <c r="S21" s="32"/>
      <c r="T21" s="32"/>
      <c r="U21" s="32"/>
      <c r="V21" s="32"/>
      <c r="W21" s="32"/>
      <c r="X21" s="32"/>
      <c r="Y21" s="32"/>
      <c r="Z21" s="32"/>
    </row>
    <row r="22" spans="1:26" x14ac:dyDescent="0.25">
      <c r="A22" s="56">
        <f t="shared" si="2"/>
        <v>0</v>
      </c>
      <c r="B22" s="59" t="s">
        <v>42</v>
      </c>
      <c r="C22" s="83">
        <f>IF($H$4="Lactante 0-6m",0.3,IF($H$4="Mujer",1.1,IF($H$4="Embarazo",1.4,IF($H$4="Lactancia",1.6,IF($H$4="Lactante 7-11m",0.4,IF($H$4="Niño 1-3",0.5,IF($H$4="Niño 4-6",0.6,IF($H$4="Niño 7-9",0.9,IF($H$4="Mujer +65 años", 1.1,IF($H$4="IDR Codex",1.2,1.3))))))))))</f>
        <v>1.3</v>
      </c>
      <c r="D22" s="30" t="s">
        <v>8</v>
      </c>
      <c r="E22" s="55">
        <f t="shared" si="0"/>
        <v>0</v>
      </c>
      <c r="F22" s="55"/>
      <c r="G22" s="102" t="s">
        <v>62</v>
      </c>
      <c r="H22" s="30"/>
      <c r="I22" s="93"/>
      <c r="J22" s="30" t="s">
        <v>9</v>
      </c>
      <c r="K22" s="75" t="str">
        <f t="shared" si="3"/>
        <v/>
      </c>
      <c r="L22" s="68" t="str">
        <f t="shared" si="1"/>
        <v/>
      </c>
      <c r="M22" s="36"/>
      <c r="N22" s="31"/>
      <c r="O22" s="31"/>
      <c r="P22" s="31"/>
      <c r="Q22" s="32"/>
      <c r="R22" s="32"/>
      <c r="S22" s="32"/>
      <c r="T22" s="32"/>
      <c r="U22" s="32"/>
      <c r="V22" s="32"/>
      <c r="W22" s="32"/>
      <c r="X22" s="32"/>
      <c r="Y22" s="32"/>
      <c r="Z22" s="32"/>
    </row>
    <row r="23" spans="1:26" x14ac:dyDescent="0.25">
      <c r="A23" s="56">
        <f t="shared" si="2"/>
        <v>0</v>
      </c>
      <c r="B23" s="59" t="s">
        <v>43</v>
      </c>
      <c r="C23" s="83">
        <f>IF($H$4="Lactante 0-6m",0.1,IF($H$4="Mujer",1.3,IF($H$4="Embarazo",1.9,IF($H$4="Lactancia",2,IF($H$4="Lactante 7-11m",0.3,IF($H$4="Niño 1-3",0.5,IF($H$4="Niño 4-6",0.6,IF($H$4="Niño 7-9",1,IF($H$4="Mujer +65 años", 1.5,IF($H$4="Hombre +65 años",1.7,1.3))))))))))</f>
        <v>1.3</v>
      </c>
      <c r="D23" s="30" t="s">
        <v>8</v>
      </c>
      <c r="E23" s="55">
        <f t="shared" si="0"/>
        <v>0</v>
      </c>
      <c r="F23" s="55"/>
      <c r="G23" s="102" t="s">
        <v>62</v>
      </c>
      <c r="H23" s="30"/>
      <c r="I23" s="93"/>
      <c r="J23" s="30" t="s">
        <v>9</v>
      </c>
      <c r="K23" s="75" t="str">
        <f t="shared" si="3"/>
        <v/>
      </c>
      <c r="L23" s="68" t="str">
        <f t="shared" si="1"/>
        <v/>
      </c>
      <c r="M23" s="36"/>
      <c r="N23" s="31"/>
      <c r="O23" s="31"/>
      <c r="P23" s="31"/>
      <c r="Q23" s="32"/>
      <c r="R23" s="32"/>
      <c r="S23" s="32"/>
      <c r="T23" s="32"/>
      <c r="U23" s="32"/>
      <c r="V23" s="32"/>
      <c r="W23" s="32"/>
      <c r="X23" s="32"/>
      <c r="Y23" s="32"/>
      <c r="Z23" s="32"/>
    </row>
    <row r="24" spans="1:26" x14ac:dyDescent="0.25">
      <c r="A24" s="56">
        <f t="shared" si="2"/>
        <v>0</v>
      </c>
      <c r="B24" s="59" t="s">
        <v>44</v>
      </c>
      <c r="C24" s="83">
        <f>IF($H$4="Lactante 0-6m",25,IF($H$4="Mujer",45,IF($H$4="Embarazo",55,IF($H$4="Lactancia",70,IF($H$4="Lactante 7-11m",30,IF($H$4="Niño 1-3",30,IF($H$4="Niño 4-6",30,IF($H$4="Niño 7-9",35,IF($H$4="Mujer +65 años", 45,IF($H$4="Hombre +65 años",45,IF($H$4="IDR Codex",60,45)))))))))))</f>
        <v>45</v>
      </c>
      <c r="D24" s="30" t="s">
        <v>8</v>
      </c>
      <c r="E24" s="55">
        <f t="shared" si="0"/>
        <v>0</v>
      </c>
      <c r="F24" s="55"/>
      <c r="G24" s="102" t="s">
        <v>62</v>
      </c>
      <c r="H24" s="30"/>
      <c r="I24" s="93"/>
      <c r="J24" s="30" t="s">
        <v>9</v>
      </c>
      <c r="K24" s="33" t="str">
        <f t="shared" si="3"/>
        <v/>
      </c>
      <c r="L24" s="68" t="str">
        <f t="shared" si="1"/>
        <v/>
      </c>
      <c r="M24" s="36"/>
      <c r="N24" s="31"/>
      <c r="O24" s="31"/>
      <c r="P24" s="31"/>
      <c r="Q24" s="32"/>
      <c r="R24" s="32"/>
      <c r="S24" s="32"/>
      <c r="T24" s="32"/>
      <c r="U24" s="32"/>
      <c r="V24" s="32"/>
      <c r="W24" s="32"/>
      <c r="X24" s="32"/>
      <c r="Y24" s="32"/>
      <c r="Z24" s="32"/>
    </row>
    <row r="25" spans="1:26" x14ac:dyDescent="0.25">
      <c r="A25" s="56">
        <f t="shared" si="2"/>
        <v>0</v>
      </c>
      <c r="B25" s="59" t="s">
        <v>14</v>
      </c>
      <c r="C25" s="83">
        <f>IF($H$4="Lactante 0-6m",1.7,IF($H$4="Mujer",5,IF($H$4="Embarazo",6,IF($H$4="Lactancia",7,IF($H$4="Lactante 7-11m",1.8,IF($H$4="Niño 1-3",2,IF($H$4="Niño 4-6",3,IF($H$4="Niño 7-9",4,5))))))))</f>
        <v>5</v>
      </c>
      <c r="D25" s="30" t="s">
        <v>8</v>
      </c>
      <c r="E25" s="55">
        <f t="shared" si="0"/>
        <v>0</v>
      </c>
      <c r="F25" s="55"/>
      <c r="G25" s="102" t="s">
        <v>62</v>
      </c>
      <c r="H25" s="30"/>
      <c r="I25" s="93"/>
      <c r="J25" s="30" t="s">
        <v>9</v>
      </c>
      <c r="K25" s="75" t="str">
        <f t="shared" si="3"/>
        <v/>
      </c>
      <c r="L25" s="68" t="str">
        <f t="shared" si="1"/>
        <v/>
      </c>
      <c r="M25" s="36"/>
      <c r="N25" s="31"/>
      <c r="O25" s="31"/>
      <c r="P25" s="31"/>
      <c r="Q25" s="32"/>
      <c r="R25" s="32"/>
      <c r="S25" s="32"/>
      <c r="T25" s="32"/>
      <c r="U25" s="32"/>
      <c r="V25" s="32"/>
      <c r="W25" s="32"/>
      <c r="X25" s="32"/>
      <c r="Y25" s="32"/>
      <c r="Z25" s="32"/>
    </row>
    <row r="26" spans="1:26" x14ac:dyDescent="0.25">
      <c r="A26" s="56">
        <f t="shared" si="2"/>
        <v>0</v>
      </c>
      <c r="B26" s="59" t="s">
        <v>45</v>
      </c>
      <c r="C26" s="83">
        <f>IF($H$4="Lactante 0-6m",2,IF($H$4="Mujer",14,IF($H$4="Embarazo",18,IF($H$4="Lactancia",17,IF($H$4="Lactante 7-11m",4,IF($H$4="Niño 1-3",6,IF($H$4="Niño 4-6",8,IF($H$4="Niño 7-9",12,IF($H$4="IDR Codex",15,16)))))))))</f>
        <v>16</v>
      </c>
      <c r="D26" s="30" t="s">
        <v>8</v>
      </c>
      <c r="E26" s="55">
        <f t="shared" si="0"/>
        <v>0</v>
      </c>
      <c r="F26" s="55"/>
      <c r="G26" s="102" t="s">
        <v>62</v>
      </c>
      <c r="H26" s="30"/>
      <c r="I26" s="93"/>
      <c r="J26" s="30" t="s">
        <v>9</v>
      </c>
      <c r="K26" s="75" t="str">
        <f t="shared" si="3"/>
        <v/>
      </c>
      <c r="L26" s="68" t="str">
        <f>IF(K26="","",ROUND((K26*1000/$J$10),2))</f>
        <v/>
      </c>
      <c r="M26" s="36"/>
      <c r="N26" s="31"/>
      <c r="O26" s="31"/>
      <c r="P26" s="31"/>
      <c r="Q26" s="32"/>
      <c r="R26" s="32"/>
      <c r="S26" s="32"/>
      <c r="T26" s="32"/>
      <c r="U26" s="32"/>
      <c r="V26" s="32"/>
      <c r="W26" s="32"/>
      <c r="X26" s="32"/>
      <c r="Y26" s="32"/>
      <c r="Z26" s="32"/>
    </row>
    <row r="27" spans="1:26" x14ac:dyDescent="0.25">
      <c r="A27" s="56">
        <f t="shared" si="2"/>
        <v>0</v>
      </c>
      <c r="B27" s="59" t="s">
        <v>10</v>
      </c>
      <c r="C27" s="83">
        <f>IF($H$4="Lactante 0-6m",48,IF($H$4="Mujer",240,IF($H$4="Embarazo",360,IF($H$4="Lactancia",300,IF($H$4="Lactante 7-11m",48,IF($H$4="Niño 1-3",96,IF($H$4="Niño 4-6",120,IF($H$4="Niño 7-9",180,IF($H$4="IDR Codex",200,240)))))))))</f>
        <v>240</v>
      </c>
      <c r="D27" s="34" t="s">
        <v>16</v>
      </c>
      <c r="E27" s="55">
        <f t="shared" si="0"/>
        <v>0</v>
      </c>
      <c r="F27" s="55"/>
      <c r="G27" s="102" t="s">
        <v>62</v>
      </c>
      <c r="H27" s="30"/>
      <c r="I27" s="93"/>
      <c r="J27" s="30" t="s">
        <v>9</v>
      </c>
      <c r="K27" s="75" t="str">
        <f>IF(I27="","",(E27*(G27/100+1)/I27*100)/1000)</f>
        <v/>
      </c>
      <c r="L27" s="68" t="str">
        <f t="shared" si="1"/>
        <v/>
      </c>
      <c r="M27" s="36"/>
      <c r="N27" s="31"/>
      <c r="O27" s="31"/>
      <c r="P27" s="31"/>
      <c r="Q27" s="32"/>
      <c r="R27" s="32"/>
      <c r="S27" s="32"/>
      <c r="T27" s="32"/>
      <c r="U27" s="32"/>
      <c r="V27" s="32"/>
      <c r="W27" s="32"/>
      <c r="X27" s="32"/>
      <c r="Y27" s="32"/>
      <c r="Z27" s="32"/>
    </row>
    <row r="28" spans="1:26" x14ac:dyDescent="0.25">
      <c r="A28" s="56">
        <f t="shared" si="2"/>
        <v>0</v>
      </c>
      <c r="B28" s="59" t="s">
        <v>11</v>
      </c>
      <c r="C28" s="83">
        <f>IF($H$4="Lactante 0-6m",5,IF($H$4="Mujer",30,IF($H$4="Embarazo",30,IF($H$4="Lactancia",35,IF($H$4="Lactante 7-11m",6,IF($H$4="Niño 1-3",8,IF($H$4="Niño 4-6",12,IF($H$4="Niño 7-9",20,30))))))))</f>
        <v>30</v>
      </c>
      <c r="D28" s="34" t="s">
        <v>16</v>
      </c>
      <c r="E28" s="55">
        <f t="shared" si="0"/>
        <v>0</v>
      </c>
      <c r="F28" s="55"/>
      <c r="G28" s="102" t="s">
        <v>62</v>
      </c>
      <c r="H28" s="30"/>
      <c r="I28" s="93"/>
      <c r="J28" s="30" t="s">
        <v>9</v>
      </c>
      <c r="K28" s="75" t="str">
        <f>IF(I28="","",(E28*(G28/100+1)/I28*100)/1000)</f>
        <v/>
      </c>
      <c r="L28" s="68" t="str">
        <f t="shared" si="1"/>
        <v/>
      </c>
      <c r="M28" s="36"/>
      <c r="N28" s="31"/>
      <c r="O28" s="31"/>
      <c r="P28" s="31"/>
      <c r="Q28" s="32"/>
      <c r="R28" s="32"/>
      <c r="S28" s="32"/>
      <c r="T28" s="32"/>
      <c r="U28" s="32"/>
      <c r="V28" s="32"/>
      <c r="W28" s="32"/>
      <c r="X28" s="32"/>
      <c r="Y28" s="32"/>
      <c r="Z28" s="32"/>
    </row>
    <row r="29" spans="1:26" x14ac:dyDescent="0.25">
      <c r="A29" s="56">
        <f t="shared" si="2"/>
        <v>0</v>
      </c>
      <c r="B29" s="59" t="s">
        <v>46</v>
      </c>
      <c r="C29" s="83">
        <f>IF($H$4="Lactante 0-6m",0.4,IF($H$4="Mujer",2.4,IF($H$4="Embarazo",2.6,IF($H$4="Lactancia",2.8,IF($H$4="Lactante 7-11m",0.5,IF($H$4="Niño 1-3",0.9,IF($H$4="Niño 4-6",1.2,IF($H$4="Niño 7-9",1.8,2.4))))))))</f>
        <v>2.4</v>
      </c>
      <c r="D29" s="34" t="s">
        <v>16</v>
      </c>
      <c r="E29" s="55">
        <f t="shared" si="0"/>
        <v>0</v>
      </c>
      <c r="F29" s="55"/>
      <c r="G29" s="102" t="s">
        <v>62</v>
      </c>
      <c r="H29" s="30"/>
      <c r="I29" s="93"/>
      <c r="J29" s="30" t="s">
        <v>9</v>
      </c>
      <c r="K29" s="75" t="str">
        <f>IF(I29="","",(E29*(G29/100+1)/I29*100)/1000)</f>
        <v/>
      </c>
      <c r="L29" s="68" t="str">
        <f t="shared" si="1"/>
        <v/>
      </c>
      <c r="M29" s="36"/>
      <c r="N29" s="31"/>
      <c r="O29" s="31"/>
      <c r="P29" s="31"/>
      <c r="Q29" s="32"/>
      <c r="R29" s="32"/>
      <c r="S29" s="32"/>
      <c r="T29" s="32"/>
      <c r="U29" s="32"/>
      <c r="V29" s="32"/>
      <c r="W29" s="32"/>
      <c r="X29" s="32"/>
      <c r="Y29" s="32"/>
      <c r="Z29" s="32"/>
    </row>
    <row r="30" spans="1:26" x14ac:dyDescent="0.25">
      <c r="A30" s="56">
        <f t="shared" si="2"/>
        <v>0</v>
      </c>
      <c r="B30" s="59" t="s">
        <v>12</v>
      </c>
      <c r="C30" s="83">
        <v>1500</v>
      </c>
      <c r="D30" s="30" t="s">
        <v>8</v>
      </c>
      <c r="E30" s="55">
        <f t="shared" si="0"/>
        <v>0</v>
      </c>
      <c r="F30" s="55"/>
      <c r="G30" s="102">
        <v>10</v>
      </c>
      <c r="H30" s="30"/>
      <c r="I30" s="93"/>
      <c r="J30" s="30" t="s">
        <v>9</v>
      </c>
      <c r="K30" s="75" t="str">
        <f t="shared" ref="K30:K35" si="4">IF(I30="","",(E30*(G30/100+1)/I30*100))</f>
        <v/>
      </c>
      <c r="L30" s="68" t="str">
        <f t="shared" si="1"/>
        <v/>
      </c>
      <c r="M30" s="36"/>
      <c r="N30" s="31"/>
      <c r="O30" s="31"/>
      <c r="P30" s="31"/>
      <c r="Q30" s="32"/>
      <c r="R30" s="32"/>
      <c r="S30" s="32"/>
      <c r="T30" s="32"/>
      <c r="U30" s="32"/>
      <c r="V30" s="32"/>
      <c r="W30" s="32"/>
      <c r="X30" s="32"/>
      <c r="Y30" s="32"/>
      <c r="Z30" s="32"/>
    </row>
    <row r="31" spans="1:26" x14ac:dyDescent="0.25">
      <c r="A31" s="56">
        <f t="shared" si="2"/>
        <v>0</v>
      </c>
      <c r="B31" s="59" t="s">
        <v>15</v>
      </c>
      <c r="C31" s="83">
        <f>IF($H$4="Lactante 0-6m",125,IF($H$4="Mujer",425,IF($H$4="Embarazo",450,IF($H$4="Lactancia",550,IF($H$4="Lactante 7-11m",150,IF($H$4="Niño 1-3",200,IF($H$4="Niño 4-6",250,IF($H$4="Niño 7-9",250,550))))))))</f>
        <v>550</v>
      </c>
      <c r="D31" s="30" t="s">
        <v>8</v>
      </c>
      <c r="E31" s="55">
        <f t="shared" si="0"/>
        <v>0</v>
      </c>
      <c r="F31" s="55"/>
      <c r="G31" s="102">
        <v>10</v>
      </c>
      <c r="H31" s="30"/>
      <c r="I31" s="93"/>
      <c r="J31" s="30" t="s">
        <v>9</v>
      </c>
      <c r="K31" s="75" t="str">
        <f t="shared" si="4"/>
        <v/>
      </c>
      <c r="L31" s="68" t="str">
        <f t="shared" si="1"/>
        <v/>
      </c>
      <c r="M31" s="36"/>
      <c r="N31" s="31"/>
      <c r="O31" s="31"/>
      <c r="P31" s="31"/>
      <c r="Q31" s="32"/>
      <c r="R31" s="32"/>
      <c r="S31" s="32"/>
      <c r="T31" s="32"/>
      <c r="U31" s="32"/>
      <c r="V31" s="32"/>
      <c r="W31" s="32"/>
      <c r="X31" s="32"/>
      <c r="Y31" s="32"/>
      <c r="Z31" s="32"/>
    </row>
    <row r="32" spans="1:26" x14ac:dyDescent="0.25">
      <c r="A32" s="56">
        <f t="shared" si="2"/>
        <v>0</v>
      </c>
      <c r="B32" s="59" t="s">
        <v>47</v>
      </c>
      <c r="C32" s="83">
        <f>IF($H$4="Lactante 0-6m",0.27,IF($H$4="Mujer",29,IF($H$4="Embarazo",27,IF($H$4="Lactancia",15,IF($H$4="Lactante 7-11m",9,IF($H$4="Niño 1-3",6,IF($H$4="Niño 4-6",6,IF($H$4="Niño 7-9",9,IF($H$4="Mujer +65 años", 11,14)))))))))</f>
        <v>14</v>
      </c>
      <c r="D32" s="30" t="s">
        <v>8</v>
      </c>
      <c r="E32" s="55">
        <f t="shared" si="0"/>
        <v>0</v>
      </c>
      <c r="F32" s="55"/>
      <c r="G32" s="102">
        <v>0</v>
      </c>
      <c r="H32" s="30"/>
      <c r="I32" s="93"/>
      <c r="J32" s="30" t="s">
        <v>9</v>
      </c>
      <c r="K32" s="75" t="str">
        <f t="shared" si="4"/>
        <v/>
      </c>
      <c r="L32" s="68" t="str">
        <f t="shared" si="1"/>
        <v/>
      </c>
      <c r="M32" s="36"/>
      <c r="N32" s="31"/>
      <c r="O32" s="31"/>
      <c r="P32" s="31"/>
      <c r="Q32" s="32"/>
      <c r="R32" s="32"/>
      <c r="S32" s="32"/>
      <c r="T32" s="32"/>
      <c r="U32" s="32"/>
      <c r="V32" s="32"/>
      <c r="W32" s="32"/>
      <c r="X32" s="32"/>
      <c r="Y32" s="32"/>
      <c r="Z32" s="32"/>
    </row>
    <row r="33" spans="1:26" x14ac:dyDescent="0.25">
      <c r="A33" s="56">
        <f t="shared" si="2"/>
        <v>0</v>
      </c>
      <c r="B33" s="59" t="s">
        <v>34</v>
      </c>
      <c r="C33" s="83">
        <f>IF($H$4="Lactante 0-6m",400,IF($H$4="Mujer",1000,IF($H$4="Embarazo",1200,IF($H$4="Lactancia",1000,IF($H$4="Lactante 7-11m",400,IF($H$4="Niño 1-3",500,IF($H$4="Niño 4-6",600,IF($H$4="Niño 7-9",700,IF($H$4="Mujer +65 años", 1300,IF($H$4="Hombre +65 años",1300,1000))))))))))</f>
        <v>1000</v>
      </c>
      <c r="D33" s="30" t="s">
        <v>8</v>
      </c>
      <c r="E33" s="88">
        <f t="shared" si="0"/>
        <v>0</v>
      </c>
      <c r="F33" s="55"/>
      <c r="G33" s="102">
        <v>0</v>
      </c>
      <c r="H33" s="30"/>
      <c r="I33" s="93"/>
      <c r="J33" s="30" t="s">
        <v>9</v>
      </c>
      <c r="K33" s="75" t="str">
        <f t="shared" si="4"/>
        <v/>
      </c>
      <c r="L33" s="68" t="str">
        <f t="shared" si="1"/>
        <v/>
      </c>
      <c r="M33" s="36"/>
      <c r="N33" s="31"/>
      <c r="O33" s="31"/>
      <c r="P33" s="31"/>
      <c r="Q33" s="32"/>
      <c r="R33" s="32"/>
      <c r="S33" s="32"/>
      <c r="T33" s="32"/>
      <c r="U33" s="32"/>
      <c r="V33" s="32"/>
      <c r="W33" s="32"/>
      <c r="X33" s="32"/>
      <c r="Y33" s="32"/>
      <c r="Z33" s="32"/>
    </row>
    <row r="34" spans="1:26" x14ac:dyDescent="0.25">
      <c r="A34" s="56">
        <f t="shared" si="2"/>
        <v>0</v>
      </c>
      <c r="B34" s="59" t="s">
        <v>63</v>
      </c>
      <c r="C34" s="83">
        <f>IF($H$4="Lactante 0-6m",100,IF($H$4="Mujer",700,IF($H$4="Embarazo",1250,IF($H$4="Lactancia",1250,IF($H$4="Lactante 7-11m",275,IF($H$4="Niño 1-3",460,IF($H$4="Niño 4-6",500,IF($H$4="Niño 7-9",500,IF($H$4="Mujer +65 años", 700,700)))))))))</f>
        <v>700</v>
      </c>
      <c r="D34" s="30" t="s">
        <v>8</v>
      </c>
      <c r="E34" s="55">
        <f t="shared" si="0"/>
        <v>0</v>
      </c>
      <c r="F34" s="55"/>
      <c r="G34" s="102">
        <v>0</v>
      </c>
      <c r="H34" s="30"/>
      <c r="I34" s="93"/>
      <c r="J34" s="30" t="s">
        <v>9</v>
      </c>
      <c r="K34" s="75" t="str">
        <f t="shared" si="4"/>
        <v/>
      </c>
      <c r="L34" s="68" t="str">
        <f t="shared" si="1"/>
        <v/>
      </c>
      <c r="M34" s="36"/>
      <c r="N34" s="31"/>
      <c r="O34" s="31"/>
      <c r="P34" s="31"/>
      <c r="Q34" s="32"/>
      <c r="R34" s="32"/>
      <c r="S34" s="32"/>
      <c r="T34" s="32"/>
      <c r="U34" s="32"/>
      <c r="V34" s="32"/>
      <c r="W34" s="32"/>
      <c r="X34" s="32"/>
      <c r="Y34" s="32"/>
      <c r="Z34" s="32"/>
    </row>
    <row r="35" spans="1:26" x14ac:dyDescent="0.25">
      <c r="A35" s="56">
        <f t="shared" si="2"/>
        <v>0</v>
      </c>
      <c r="B35" s="59" t="s">
        <v>48</v>
      </c>
      <c r="C35" s="83">
        <v>1100</v>
      </c>
      <c r="D35" s="30" t="s">
        <v>8</v>
      </c>
      <c r="E35" s="55">
        <f t="shared" si="0"/>
        <v>0</v>
      </c>
      <c r="F35" s="55"/>
      <c r="G35" s="102">
        <v>0</v>
      </c>
      <c r="H35" s="30"/>
      <c r="I35" s="93"/>
      <c r="J35" s="30" t="s">
        <v>9</v>
      </c>
      <c r="K35" s="75" t="str">
        <f t="shared" si="4"/>
        <v/>
      </c>
      <c r="L35" s="68" t="str">
        <f t="shared" si="1"/>
        <v/>
      </c>
      <c r="M35" s="36"/>
      <c r="N35" s="31"/>
      <c r="O35" s="31"/>
      <c r="P35" s="31"/>
      <c r="Q35" s="32"/>
      <c r="R35" s="32"/>
      <c r="S35" s="32"/>
      <c r="T35" s="32"/>
      <c r="U35" s="32"/>
      <c r="V35" s="32"/>
      <c r="W35" s="32"/>
      <c r="X35" s="32"/>
      <c r="Y35" s="32"/>
      <c r="Z35" s="32"/>
    </row>
    <row r="36" spans="1:26" x14ac:dyDescent="0.25">
      <c r="A36" s="56">
        <f t="shared" si="2"/>
        <v>0</v>
      </c>
      <c r="B36" s="59" t="s">
        <v>49</v>
      </c>
      <c r="C36" s="83">
        <f>IF($H$4="Lactante 0-6m",200,IF($H$4="Mujer",29,IF($H$4="Embarazo",1000,IF($H$4="Lactancia",1300,IF($H$4="Lactante 7-11m",220,IF($H$4="Niño 1-3",340,IF($H$4="Niño 4-6",440,IF($H$4="Niño 7-9",440,IF($H$4="Mujer +65 años", 900,900)))))))))</f>
        <v>900</v>
      </c>
      <c r="D36" s="34" t="s">
        <v>16</v>
      </c>
      <c r="E36" s="55">
        <f t="shared" si="0"/>
        <v>0</v>
      </c>
      <c r="F36" s="55"/>
      <c r="G36" s="102">
        <v>0</v>
      </c>
      <c r="H36" s="30"/>
      <c r="I36" s="93"/>
      <c r="J36" s="30" t="s">
        <v>9</v>
      </c>
      <c r="K36" s="75" t="str">
        <f>IF(I36="","",(E36*(G36/100+1)/I36*100)/1000)</f>
        <v/>
      </c>
      <c r="L36" s="68" t="str">
        <f t="shared" si="1"/>
        <v/>
      </c>
      <c r="M36" s="36"/>
      <c r="N36" s="31"/>
      <c r="O36" s="31"/>
      <c r="P36" s="31"/>
      <c r="Q36" s="32"/>
      <c r="R36" s="32"/>
      <c r="S36" s="32"/>
      <c r="T36" s="32"/>
      <c r="U36" s="32"/>
      <c r="V36" s="32"/>
      <c r="W36" s="32"/>
      <c r="X36" s="32"/>
      <c r="Y36" s="32"/>
      <c r="Z36" s="32"/>
    </row>
    <row r="37" spans="1:26" x14ac:dyDescent="0.25">
      <c r="A37" s="56">
        <f t="shared" si="2"/>
        <v>0</v>
      </c>
      <c r="B37" s="59" t="s">
        <v>50</v>
      </c>
      <c r="C37" s="83">
        <f>IF($H$4="Lactante 0-6m",0.2,IF($H$4="Mujer",25,IF($H$4="Embarazo",30,IF($H$4="Lactancia",45,IF($H$4="Lactante 7-11m",5.5,IF($H$4="Niño 1-3",11,IF($H$4="Niño 4-6",15,IF($H$4="Niño 7-9",15,IF($H$4="Mujer +65 años", 20,IF($H$4="Hombre +65 años",30,35))))))))))</f>
        <v>35</v>
      </c>
      <c r="D37" s="34" t="s">
        <v>16</v>
      </c>
      <c r="E37" s="55">
        <f t="shared" si="0"/>
        <v>0</v>
      </c>
      <c r="F37" s="55"/>
      <c r="G37" s="102">
        <v>0</v>
      </c>
      <c r="H37" s="30"/>
      <c r="I37" s="93"/>
      <c r="J37" s="30" t="s">
        <v>9</v>
      </c>
      <c r="K37" s="75" t="str">
        <f>IF(I37="","",(E37*(G37/100+1)/I37*100)/1000)</f>
        <v/>
      </c>
      <c r="L37" s="68" t="str">
        <f t="shared" si="1"/>
        <v/>
      </c>
      <c r="M37" s="36"/>
      <c r="N37" s="31"/>
      <c r="O37" s="31"/>
      <c r="P37" s="31"/>
      <c r="Q37" s="32"/>
      <c r="R37" s="32"/>
      <c r="S37" s="32"/>
      <c r="T37" s="32"/>
      <c r="U37" s="32"/>
      <c r="V37" s="32"/>
      <c r="W37" s="32"/>
      <c r="X37" s="32"/>
      <c r="Y37" s="32"/>
      <c r="Z37" s="32"/>
    </row>
    <row r="38" spans="1:26" x14ac:dyDescent="0.25">
      <c r="A38" s="56">
        <f t="shared" si="2"/>
        <v>0</v>
      </c>
      <c r="B38" s="59" t="s">
        <v>51</v>
      </c>
      <c r="C38" s="83">
        <f>IF($H$4="Lactante 0-6m",0.01,IF($H$4="Mujer",3,IF($H$4="Embarazo",3,IF($H$4="Lactancia",3,IF($H$4="Lactante 7-11m",0.5,IF($H$4="Niño 1-3",0.7,IF($H$4="Niño 4-6",1,IF($H$4="Niño 7-9",2,IF($H$4="Mujer +65 años", 3,4)))))))))</f>
        <v>4</v>
      </c>
      <c r="D38" s="30" t="s">
        <v>8</v>
      </c>
      <c r="E38" s="55">
        <f t="shared" si="0"/>
        <v>0</v>
      </c>
      <c r="F38" s="55"/>
      <c r="G38" s="102">
        <v>0</v>
      </c>
      <c r="H38" s="30"/>
      <c r="I38" s="93"/>
      <c r="J38" s="30" t="s">
        <v>9</v>
      </c>
      <c r="K38" s="75" t="str">
        <f>IF(I38="","",(E38*(G38/100+1)/I38*100))</f>
        <v/>
      </c>
      <c r="L38" s="68" t="str">
        <f t="shared" si="1"/>
        <v/>
      </c>
      <c r="M38" s="36"/>
      <c r="N38" s="31"/>
      <c r="O38" s="31"/>
      <c r="P38" s="31"/>
      <c r="Q38" s="32"/>
      <c r="R38" s="32"/>
      <c r="S38" s="32"/>
      <c r="T38" s="32"/>
      <c r="U38" s="32"/>
      <c r="V38" s="32"/>
      <c r="W38" s="32"/>
      <c r="X38" s="32"/>
      <c r="Y38" s="32"/>
      <c r="Z38" s="32"/>
    </row>
    <row r="39" spans="1:26" x14ac:dyDescent="0.25">
      <c r="A39" s="56">
        <f t="shared" si="2"/>
        <v>0</v>
      </c>
      <c r="B39" s="59" t="s">
        <v>52</v>
      </c>
      <c r="C39" s="83">
        <f>IF($H$4="Lactante 0-6m",90,IF($H$4="Mujer",110,IF($H$4="Embarazo",200,IF($H$4="Lactancia",200,IF($H$4="Lactante 7-11m",135,IF($H$4="Niño 1-3",75,IF($H$4="Niño 4-6",110,IF($H$4="Niño 7-9",110,IF($H$4="IDR Codex",150,130)))))))))</f>
        <v>130</v>
      </c>
      <c r="D39" s="34" t="s">
        <v>16</v>
      </c>
      <c r="E39" s="55">
        <f t="shared" si="0"/>
        <v>0</v>
      </c>
      <c r="F39" s="55"/>
      <c r="G39" s="102">
        <v>0</v>
      </c>
      <c r="H39" s="30"/>
      <c r="I39" s="93"/>
      <c r="J39" s="30" t="s">
        <v>9</v>
      </c>
      <c r="K39" s="75" t="str">
        <f>IF(I39="","",(E39*(G39/100+1)/I39*100)/1000)</f>
        <v/>
      </c>
      <c r="L39" s="68" t="str">
        <f t="shared" si="1"/>
        <v/>
      </c>
      <c r="M39" s="36"/>
      <c r="N39" s="31"/>
      <c r="O39" s="31"/>
      <c r="P39" s="31"/>
      <c r="Q39" s="32"/>
      <c r="R39" s="32"/>
      <c r="S39" s="32"/>
      <c r="T39" s="32"/>
      <c r="U39" s="32"/>
      <c r="V39" s="32"/>
      <c r="W39" s="32"/>
      <c r="X39" s="32"/>
      <c r="Y39" s="32"/>
      <c r="Z39" s="32"/>
    </row>
    <row r="40" spans="1:26" x14ac:dyDescent="0.25">
      <c r="A40" s="56">
        <f t="shared" si="2"/>
        <v>0</v>
      </c>
      <c r="B40" s="59" t="s">
        <v>53</v>
      </c>
      <c r="C40" s="83">
        <f>IF($H$4="Lactante 0-6m",36,IF($H$4="Mujer",220,IF($H$4="Embarazo",220,IF($H$4="Lactancia",270,IF($H$4="Lactante 7-11m",53,IF($H$4="Niño 1-3",60,IF($H$4="Niño 4-6",73,IF($H$4="Niño 7-9",100,IF($H$4="Mujer +65 años", 190,IF($H$4="Hombre +65 años",230,IF($H$4="IDR Codex",300,260)))))))))))</f>
        <v>260</v>
      </c>
      <c r="D40" s="30" t="s">
        <v>8</v>
      </c>
      <c r="E40" s="55">
        <f t="shared" si="0"/>
        <v>0</v>
      </c>
      <c r="F40" s="55"/>
      <c r="G40" s="102">
        <v>0</v>
      </c>
      <c r="H40" s="30"/>
      <c r="I40" s="93"/>
      <c r="J40" s="30" t="s">
        <v>9</v>
      </c>
      <c r="K40" s="75" t="str">
        <f>IF(I40="","",(E40*(G40/100+1)/I40*100))</f>
        <v/>
      </c>
      <c r="L40" s="68" t="str">
        <f t="shared" si="1"/>
        <v/>
      </c>
      <c r="M40" s="36"/>
      <c r="N40" s="31"/>
      <c r="O40" s="31"/>
      <c r="P40" s="31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spans="1:26" x14ac:dyDescent="0.25">
      <c r="A41" s="56">
        <f t="shared" si="2"/>
        <v>0</v>
      </c>
      <c r="B41" s="59" t="s">
        <v>54</v>
      </c>
      <c r="C41" s="83">
        <f>IF($H$4="Lactante 0-6m",0.003,IF($H$4="Mujer",1.8,IF($H$4="Embarazo",2,IF($H$4="Lactancia",2.6,IF($H$4="Lactante 7-11m",0.6,IF($H$4="Niño 1-3",1.2,IF($H$4="Niño 4-6",1.5,IF($H$4="Niño 7-9",1.5,2.3))))))))</f>
        <v>2.2999999999999998</v>
      </c>
      <c r="D41" s="30" t="s">
        <v>8</v>
      </c>
      <c r="E41" s="87">
        <f t="shared" si="0"/>
        <v>0</v>
      </c>
      <c r="F41" s="55"/>
      <c r="G41" s="102">
        <v>0</v>
      </c>
      <c r="H41" s="30"/>
      <c r="I41" s="93"/>
      <c r="J41" s="30" t="s">
        <v>9</v>
      </c>
      <c r="K41" s="75" t="str">
        <f>IF(I41="","",(E41*(G41/100+1)/I41*100))</f>
        <v/>
      </c>
      <c r="L41" s="68" t="str">
        <f t="shared" si="1"/>
        <v/>
      </c>
      <c r="M41" s="36"/>
      <c r="N41" s="31"/>
      <c r="O41" s="31"/>
      <c r="P41" s="31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spans="1:26" x14ac:dyDescent="0.25">
      <c r="A42" s="56">
        <f t="shared" si="2"/>
        <v>0</v>
      </c>
      <c r="B42" s="59" t="s">
        <v>55</v>
      </c>
      <c r="C42" s="83">
        <f>IF($H$4="Lactante 0-6m",2,IF($H$4="Mujer",45,IF($H$4="Embarazo",50,IF($H$4="Lactancia",50,IF($H$4="Lactante 7-11m",3,IF($H$4="Niño 1-3",17,IF($H$4="Niño 4-6",22,IF($H$4="Niño 7-9",22,45))))))))</f>
        <v>45</v>
      </c>
      <c r="D42" s="34" t="s">
        <v>16</v>
      </c>
      <c r="E42" s="87">
        <f t="shared" si="0"/>
        <v>0</v>
      </c>
      <c r="F42" s="55"/>
      <c r="G42" s="102">
        <v>0</v>
      </c>
      <c r="H42" s="30"/>
      <c r="I42" s="93"/>
      <c r="J42" s="30" t="s">
        <v>9</v>
      </c>
      <c r="K42" s="75" t="str">
        <f>IF(I42="","",(E42*(G42/100+1)/I42*100)/1000)</f>
        <v/>
      </c>
      <c r="L42" s="68" t="str">
        <f t="shared" si="1"/>
        <v/>
      </c>
      <c r="M42" s="36"/>
      <c r="N42" s="31"/>
      <c r="O42" s="31"/>
      <c r="P42" s="31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spans="1:26" x14ac:dyDescent="0.25">
      <c r="A43" s="56">
        <f t="shared" si="2"/>
        <v>0</v>
      </c>
      <c r="B43" s="59" t="s">
        <v>57</v>
      </c>
      <c r="C43" s="83">
        <v>3000</v>
      </c>
      <c r="D43" s="30" t="s">
        <v>8</v>
      </c>
      <c r="E43" s="87">
        <f t="shared" si="0"/>
        <v>0</v>
      </c>
      <c r="F43" s="55"/>
      <c r="G43" s="102">
        <v>0</v>
      </c>
      <c r="H43" s="30"/>
      <c r="I43" s="93"/>
      <c r="J43" s="30" t="s">
        <v>9</v>
      </c>
      <c r="K43" s="75" t="str">
        <f>IF(I43="","",(E43*(G43/100+1)/I43*100))</f>
        <v/>
      </c>
      <c r="L43" s="68" t="str">
        <f t="shared" si="1"/>
        <v/>
      </c>
      <c r="M43" s="36"/>
      <c r="N43" s="31"/>
      <c r="O43" s="31"/>
      <c r="P43" s="31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spans="1:26" x14ac:dyDescent="0.25">
      <c r="A44" s="56">
        <f t="shared" si="2"/>
        <v>0</v>
      </c>
      <c r="B44" s="59" t="s">
        <v>56</v>
      </c>
      <c r="C44" s="83">
        <f>IF($H$4="Lactante 0-6m",6,IF($H$4="Mujer",26,IF($H$4="Embarazo",30,IF($H$4="Lactancia",35,IF($H$4="Lactante 7-11m",10,IF($H$4="Niño 1-3",17,IF($H$4="Niño 4-6",21,IF($H$4="Niño 7-9",21,34))))))))</f>
        <v>34</v>
      </c>
      <c r="D44" s="34" t="s">
        <v>16</v>
      </c>
      <c r="E44" s="87">
        <f t="shared" si="0"/>
        <v>0</v>
      </c>
      <c r="F44" s="55"/>
      <c r="G44" s="102">
        <v>0</v>
      </c>
      <c r="H44" s="30"/>
      <c r="I44" s="93"/>
      <c r="J44" s="30" t="s">
        <v>9</v>
      </c>
      <c r="K44" s="75" t="str">
        <f>IF(I44="","",(E44*(G44/100+1)/I44*100)/1000)</f>
        <v/>
      </c>
      <c r="L44" s="68" t="str">
        <f t="shared" si="1"/>
        <v/>
      </c>
      <c r="M44" s="36"/>
      <c r="N44" s="31"/>
      <c r="O44" s="31"/>
      <c r="P44" s="31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spans="1:26" x14ac:dyDescent="0.25">
      <c r="A45" s="56">
        <f t="shared" si="2"/>
        <v>0</v>
      </c>
      <c r="B45" s="59" t="s">
        <v>35</v>
      </c>
      <c r="C45" s="83">
        <f>IF($H$4="Lactante 0-6m",2.8,IF($H$4="Mujer",4.9,IF($H$4="Embarazo",10,IF($H$4="Lactancia",9.5,IF($H$4="Lactante 7-11m",4.1,IF($H$4="Niño 1-3",4.1,IF($H$4="Niño 4-6",5.1,IF($H$4="Niño 7-9",5.6,IF($H$4="IDR Codex",15,7)))))))))</f>
        <v>7</v>
      </c>
      <c r="D45" s="30" t="s">
        <v>8</v>
      </c>
      <c r="E45" s="87">
        <f t="shared" si="0"/>
        <v>0</v>
      </c>
      <c r="F45" s="55"/>
      <c r="G45" s="102">
        <v>0</v>
      </c>
      <c r="H45" s="30"/>
      <c r="I45" s="93"/>
      <c r="J45" s="30" t="s">
        <v>9</v>
      </c>
      <c r="K45" s="75" t="str">
        <f>IF(I45="","",(E45*(G45/100+1)/I45*100))</f>
        <v/>
      </c>
      <c r="L45" s="68" t="str">
        <f t="shared" si="1"/>
        <v/>
      </c>
      <c r="M45" s="36"/>
      <c r="N45" s="31"/>
      <c r="O45" s="31"/>
      <c r="P45" s="31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6" x14ac:dyDescent="0.25">
      <c r="A46" s="56">
        <f t="shared" si="2"/>
        <v>0</v>
      </c>
      <c r="B46" s="59" t="s">
        <v>36</v>
      </c>
      <c r="C46" s="83">
        <v>2.4</v>
      </c>
      <c r="D46" s="34" t="s">
        <v>16</v>
      </c>
      <c r="E46" s="89">
        <f t="shared" si="0"/>
        <v>0</v>
      </c>
      <c r="F46" s="55"/>
      <c r="G46" s="102">
        <v>0</v>
      </c>
      <c r="H46" s="30"/>
      <c r="I46" s="93"/>
      <c r="J46" s="30" t="s">
        <v>9</v>
      </c>
      <c r="K46" s="33" t="str">
        <f>IF(I46="","",(E46*(G46/100+1)/I46*100)/1000)</f>
        <v/>
      </c>
      <c r="L46" s="68" t="str">
        <f t="shared" si="1"/>
        <v/>
      </c>
      <c r="M46" s="36"/>
      <c r="N46" s="31"/>
      <c r="O46" s="31"/>
      <c r="P46" s="31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spans="1:26" x14ac:dyDescent="0.25">
      <c r="A47" s="56">
        <f t="shared" si="2"/>
        <v>0</v>
      </c>
      <c r="B47" s="59"/>
      <c r="C47" s="83" t="str">
        <f>IF(B47="Ca",$C$33,IF(B47="Fe",$C$32,IF(B47="P", $C$34,IF(B47="Na",$C$35,IF(B47="Cu",$C$36,IF(B47="Cr",$C$37,IF(B47="F",$C$38,IF(B47="I",$C$39,IF(B47="Mg",$C$40,IF(B47="Mn",$C$41,IF(B47="Mo",$C$42,IF(B47="K",$C$43,IF(B47="Se",$C$44,IF(B47="Zn",$C$45,IF(B47="Co",$C$46,"")))))))))))))))</f>
        <v/>
      </c>
      <c r="D47" s="34" t="str">
        <f>IF(B47="Ca",$D$33,IF(B47="Fe",$D$32,IF(B47="P", $D$34,IF(B47="Na",$D$35,IF(B47="Cu",$D$36,IF(B47="Cr",$D$37,IF(B47="F",$D$38,IF(B47="I",$D$39,IF(B47="Mg",$D$40,IF(B47="Mn",$D$41,IF(B47="Mo",$D$42,IF(B47="K",$D$43,IF(B47="Se",$D$44,IF(B47="Zn",$D$45,IF(B47="Co",$D$46,"")))))))))))))))</f>
        <v/>
      </c>
      <c r="E47" s="89" t="e">
        <f t="shared" si="0"/>
        <v>#VALUE!</v>
      </c>
      <c r="F47" s="55"/>
      <c r="G47" s="102">
        <v>0</v>
      </c>
      <c r="H47" s="30"/>
      <c r="I47" s="93"/>
      <c r="J47" s="30" t="s">
        <v>9</v>
      </c>
      <c r="K47" s="33" t="str">
        <f>IF(I47="","",(E47*(G47/100+1)/I47*100)/(IF(D47="µg",1000,1)))</f>
        <v/>
      </c>
      <c r="L47" s="68" t="str">
        <f t="shared" si="1"/>
        <v/>
      </c>
      <c r="M47" s="36"/>
      <c r="N47" s="31"/>
      <c r="O47" s="31"/>
      <c r="P47" s="31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spans="1:26" x14ac:dyDescent="0.25">
      <c r="A48" s="56">
        <f t="shared" si="2"/>
        <v>0</v>
      </c>
      <c r="B48" s="59"/>
      <c r="C48" s="83" t="str">
        <f t="shared" ref="C48:C99" si="5">IF(B48="Ca",$C$33,IF(B48="Fe",$C$32,IF(B48="P", $C$34,IF(B48="Na",$C$35,IF(B48="Cu",$C$36,IF(B48="Cr",$C$37,IF(B48="F",$C$38,IF(B48="I",$C$39,IF(B48="Mg",$C$40,IF(B48="Mn",$C$41,IF(B48="Mo",$C$42,IF(B48="K",$C$43,IF(B48="Se",$C$44,IF(B48="Zn",$C$45,IF(B48="Co",$C$46,"")))))))))))))))</f>
        <v/>
      </c>
      <c r="D48" s="34" t="str">
        <f t="shared" ref="D48:D99" si="6">IF(B48="Ca",$D$33,IF(B48="Fe",$D$32,IF(B48="P", $D$34,IF(B48="Na",$D$35,IF(B48="Cu",$D$36,IF(B48="Cr",$D$37,IF(B48="F",$D$38,IF(B48="I",$D$39,IF(B48="Mg",$D$40,IF(B48="Mn",$D$41,IF(B48="Mo",$D$42,IF(B48="K",$D$43,IF(B48="Se",$D$44,IF(B48="Zn",$D$45,IF(B48="Co",$D$46,"")))))))))))))))</f>
        <v/>
      </c>
      <c r="E48" s="89" t="e">
        <f t="shared" si="0"/>
        <v>#VALUE!</v>
      </c>
      <c r="F48" s="55"/>
      <c r="G48" s="102">
        <v>0</v>
      </c>
      <c r="H48" s="30"/>
      <c r="I48" s="93"/>
      <c r="J48" s="30" t="s">
        <v>9</v>
      </c>
      <c r="K48" s="75" t="str">
        <f t="shared" ref="K48:K99" si="7">IF(I48="","",(E48*(G48/100+1)/I48*100)/(IF(D48="µg",1000,1)))</f>
        <v/>
      </c>
      <c r="L48" s="68" t="str">
        <f t="shared" si="1"/>
        <v/>
      </c>
      <c r="M48" s="36"/>
      <c r="N48" s="31"/>
      <c r="O48" s="31"/>
      <c r="P48" s="31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1:26" x14ac:dyDescent="0.25">
      <c r="A49" s="56">
        <f t="shared" si="2"/>
        <v>0</v>
      </c>
      <c r="B49" s="59"/>
      <c r="C49" s="83" t="str">
        <f t="shared" si="5"/>
        <v/>
      </c>
      <c r="D49" s="34" t="str">
        <f t="shared" si="6"/>
        <v/>
      </c>
      <c r="E49" s="90" t="e">
        <f t="shared" si="0"/>
        <v>#VALUE!</v>
      </c>
      <c r="F49" s="55"/>
      <c r="G49" s="102">
        <v>0</v>
      </c>
      <c r="H49" s="30"/>
      <c r="I49" s="93"/>
      <c r="J49" s="30" t="s">
        <v>9</v>
      </c>
      <c r="K49" s="33" t="str">
        <f t="shared" si="7"/>
        <v/>
      </c>
      <c r="L49" s="68" t="str">
        <f t="shared" si="1"/>
        <v/>
      </c>
      <c r="M49" s="36"/>
      <c r="N49" s="31"/>
      <c r="O49" s="31"/>
      <c r="P49" s="31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1:26" x14ac:dyDescent="0.25">
      <c r="A50" s="56">
        <f t="shared" si="2"/>
        <v>0</v>
      </c>
      <c r="B50" s="59"/>
      <c r="C50" s="83" t="str">
        <f t="shared" si="5"/>
        <v/>
      </c>
      <c r="D50" s="34" t="str">
        <f t="shared" si="6"/>
        <v/>
      </c>
      <c r="E50" s="90" t="e">
        <f t="shared" si="0"/>
        <v>#VALUE!</v>
      </c>
      <c r="F50" s="55"/>
      <c r="G50" s="102">
        <v>0</v>
      </c>
      <c r="H50" s="30"/>
      <c r="I50" s="93"/>
      <c r="J50" s="30" t="s">
        <v>9</v>
      </c>
      <c r="K50" s="33" t="str">
        <f t="shared" si="7"/>
        <v/>
      </c>
      <c r="L50" s="68" t="str">
        <f t="shared" si="1"/>
        <v/>
      </c>
      <c r="M50" s="36"/>
      <c r="N50" s="31"/>
      <c r="O50" s="31"/>
      <c r="P50" s="31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spans="1:26" x14ac:dyDescent="0.25">
      <c r="A51" s="56">
        <f t="shared" si="2"/>
        <v>0</v>
      </c>
      <c r="B51" s="59"/>
      <c r="C51" s="83" t="str">
        <f t="shared" si="5"/>
        <v/>
      </c>
      <c r="D51" s="34" t="str">
        <f t="shared" si="6"/>
        <v/>
      </c>
      <c r="E51" s="90" t="e">
        <f t="shared" si="0"/>
        <v>#VALUE!</v>
      </c>
      <c r="F51" s="55"/>
      <c r="G51" s="102">
        <v>0</v>
      </c>
      <c r="H51" s="30"/>
      <c r="I51" s="93"/>
      <c r="J51" s="30" t="s">
        <v>9</v>
      </c>
      <c r="K51" s="33" t="str">
        <f t="shared" si="7"/>
        <v/>
      </c>
      <c r="L51" s="68" t="str">
        <f t="shared" si="1"/>
        <v/>
      </c>
      <c r="M51" s="36"/>
      <c r="N51" s="31"/>
      <c r="O51" s="31"/>
      <c r="P51" s="31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1:26" x14ac:dyDescent="0.25">
      <c r="A52" s="56">
        <f t="shared" si="2"/>
        <v>0</v>
      </c>
      <c r="B52" s="59"/>
      <c r="C52" s="83" t="str">
        <f t="shared" si="5"/>
        <v/>
      </c>
      <c r="D52" s="34" t="str">
        <f t="shared" si="6"/>
        <v/>
      </c>
      <c r="E52" s="90" t="e">
        <f t="shared" si="0"/>
        <v>#VALUE!</v>
      </c>
      <c r="F52" s="55"/>
      <c r="G52" s="102">
        <v>0</v>
      </c>
      <c r="H52" s="30"/>
      <c r="I52" s="93"/>
      <c r="J52" s="30" t="s">
        <v>9</v>
      </c>
      <c r="K52" s="33" t="str">
        <f t="shared" si="7"/>
        <v/>
      </c>
      <c r="L52" s="68" t="str">
        <f t="shared" si="1"/>
        <v/>
      </c>
      <c r="M52" s="36"/>
      <c r="N52" s="31"/>
      <c r="O52" s="31"/>
      <c r="P52" s="31"/>
      <c r="Q52" s="32"/>
      <c r="R52" s="32"/>
      <c r="S52" s="32"/>
      <c r="T52" s="32"/>
      <c r="U52" s="32"/>
      <c r="V52" s="32"/>
      <c r="W52" s="32"/>
      <c r="X52" s="32"/>
      <c r="Y52" s="32"/>
      <c r="Z52" s="32"/>
    </row>
    <row r="53" spans="1:26" x14ac:dyDescent="0.25">
      <c r="A53" s="56">
        <f t="shared" si="2"/>
        <v>0</v>
      </c>
      <c r="B53" s="59"/>
      <c r="C53" s="83" t="str">
        <f t="shared" si="5"/>
        <v/>
      </c>
      <c r="D53" s="34" t="str">
        <f t="shared" si="6"/>
        <v/>
      </c>
      <c r="E53" s="90" t="e">
        <f t="shared" si="0"/>
        <v>#VALUE!</v>
      </c>
      <c r="F53" s="55"/>
      <c r="G53" s="102">
        <v>0</v>
      </c>
      <c r="H53" s="30"/>
      <c r="I53" s="93"/>
      <c r="J53" s="30" t="s">
        <v>9</v>
      </c>
      <c r="K53" s="33" t="str">
        <f t="shared" si="7"/>
        <v/>
      </c>
      <c r="L53" s="68" t="str">
        <f t="shared" si="1"/>
        <v/>
      </c>
      <c r="M53" s="36"/>
      <c r="N53" s="31"/>
      <c r="O53" s="31"/>
      <c r="P53" s="31"/>
      <c r="Q53" s="32"/>
      <c r="R53" s="32"/>
      <c r="S53" s="32"/>
      <c r="T53" s="32"/>
      <c r="U53" s="32"/>
      <c r="V53" s="32"/>
      <c r="W53" s="32"/>
      <c r="X53" s="32"/>
      <c r="Y53" s="32"/>
      <c r="Z53" s="32"/>
    </row>
    <row r="54" spans="1:26" x14ac:dyDescent="0.25">
      <c r="A54" s="56">
        <f t="shared" si="2"/>
        <v>0</v>
      </c>
      <c r="B54" s="59"/>
      <c r="C54" s="83" t="str">
        <f t="shared" si="5"/>
        <v/>
      </c>
      <c r="D54" s="34" t="str">
        <f t="shared" si="6"/>
        <v/>
      </c>
      <c r="E54" s="30" t="e">
        <f t="shared" si="0"/>
        <v>#VALUE!</v>
      </c>
      <c r="F54" s="55"/>
      <c r="G54" s="102">
        <v>0</v>
      </c>
      <c r="H54" s="30"/>
      <c r="I54" s="93"/>
      <c r="J54" s="30" t="s">
        <v>9</v>
      </c>
      <c r="K54" s="33" t="str">
        <f t="shared" si="7"/>
        <v/>
      </c>
      <c r="L54" s="68" t="str">
        <f t="shared" si="1"/>
        <v/>
      </c>
      <c r="M54" s="36"/>
      <c r="N54" s="31"/>
      <c r="O54" s="31"/>
      <c r="P54" s="31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spans="1:26" x14ac:dyDescent="0.25">
      <c r="A55" s="56">
        <f t="shared" si="2"/>
        <v>0</v>
      </c>
      <c r="B55" s="59"/>
      <c r="C55" s="83" t="str">
        <f t="shared" si="5"/>
        <v/>
      </c>
      <c r="D55" s="34" t="str">
        <f t="shared" si="6"/>
        <v/>
      </c>
      <c r="E55" s="30" t="e">
        <f t="shared" si="0"/>
        <v>#VALUE!</v>
      </c>
      <c r="F55" s="55"/>
      <c r="G55" s="102">
        <v>5</v>
      </c>
      <c r="H55" s="30"/>
      <c r="I55" s="93"/>
      <c r="J55" s="30" t="s">
        <v>9</v>
      </c>
      <c r="K55" s="33" t="str">
        <f t="shared" si="7"/>
        <v/>
      </c>
      <c r="L55" s="68" t="str">
        <f t="shared" si="1"/>
        <v/>
      </c>
      <c r="M55" s="36"/>
      <c r="N55" s="31"/>
      <c r="O55" s="31"/>
      <c r="P55" s="31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spans="1:26" x14ac:dyDescent="0.25">
      <c r="A56" s="56">
        <f t="shared" si="2"/>
        <v>0</v>
      </c>
      <c r="B56" s="59"/>
      <c r="C56" s="83" t="str">
        <f t="shared" si="5"/>
        <v/>
      </c>
      <c r="D56" s="34" t="str">
        <f t="shared" si="6"/>
        <v/>
      </c>
      <c r="E56" s="30" t="e">
        <f t="shared" si="0"/>
        <v>#VALUE!</v>
      </c>
      <c r="F56" s="55"/>
      <c r="G56" s="102">
        <v>5</v>
      </c>
      <c r="H56" s="30"/>
      <c r="I56" s="93"/>
      <c r="J56" s="30" t="s">
        <v>9</v>
      </c>
      <c r="K56" s="33" t="str">
        <f t="shared" si="7"/>
        <v/>
      </c>
      <c r="L56" s="68" t="str">
        <f t="shared" si="1"/>
        <v/>
      </c>
      <c r="M56" s="36"/>
      <c r="N56" s="31"/>
      <c r="O56" s="31"/>
      <c r="P56" s="31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spans="1:26" x14ac:dyDescent="0.25">
      <c r="A57" s="56">
        <f t="shared" si="2"/>
        <v>0</v>
      </c>
      <c r="B57" s="59"/>
      <c r="C57" s="83" t="str">
        <f t="shared" si="5"/>
        <v/>
      </c>
      <c r="D57" s="34" t="str">
        <f t="shared" si="6"/>
        <v/>
      </c>
      <c r="E57" s="30" t="e">
        <f t="shared" si="0"/>
        <v>#VALUE!</v>
      </c>
      <c r="F57" s="55"/>
      <c r="G57" s="102">
        <v>5</v>
      </c>
      <c r="H57" s="30"/>
      <c r="I57" s="93"/>
      <c r="J57" s="30" t="s">
        <v>9</v>
      </c>
      <c r="K57" s="33" t="str">
        <f t="shared" si="7"/>
        <v/>
      </c>
      <c r="L57" s="70" t="str">
        <f t="shared" si="1"/>
        <v/>
      </c>
      <c r="M57" s="36"/>
      <c r="N57" s="31"/>
      <c r="O57" s="31"/>
      <c r="P57" s="31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1:26" x14ac:dyDescent="0.25">
      <c r="A58" s="56">
        <f t="shared" si="2"/>
        <v>0</v>
      </c>
      <c r="B58" s="59"/>
      <c r="C58" s="83" t="str">
        <f t="shared" si="5"/>
        <v/>
      </c>
      <c r="D58" s="34" t="str">
        <f t="shared" si="6"/>
        <v/>
      </c>
      <c r="E58" s="30" t="e">
        <f t="shared" si="0"/>
        <v>#VALUE!</v>
      </c>
      <c r="F58" s="55"/>
      <c r="G58" s="102">
        <v>5</v>
      </c>
      <c r="H58" s="30"/>
      <c r="I58" s="93"/>
      <c r="J58" s="30" t="s">
        <v>9</v>
      </c>
      <c r="K58" s="33" t="str">
        <f t="shared" si="7"/>
        <v/>
      </c>
      <c r="L58" s="70" t="str">
        <f t="shared" si="1"/>
        <v/>
      </c>
      <c r="M58" s="11"/>
      <c r="N58" s="10"/>
      <c r="O58" s="10"/>
      <c r="P58" s="10"/>
    </row>
    <row r="59" spans="1:26" x14ac:dyDescent="0.25">
      <c r="A59" s="56">
        <f t="shared" si="2"/>
        <v>0</v>
      </c>
      <c r="B59" s="59"/>
      <c r="C59" s="83" t="str">
        <f t="shared" si="5"/>
        <v/>
      </c>
      <c r="D59" s="34" t="str">
        <f t="shared" si="6"/>
        <v/>
      </c>
      <c r="E59" s="30" t="e">
        <f t="shared" si="0"/>
        <v>#VALUE!</v>
      </c>
      <c r="F59" s="55"/>
      <c r="G59" s="102">
        <v>5</v>
      </c>
      <c r="H59" s="30"/>
      <c r="I59" s="93"/>
      <c r="J59" s="30" t="s">
        <v>9</v>
      </c>
      <c r="K59" s="33" t="str">
        <f t="shared" si="7"/>
        <v/>
      </c>
      <c r="L59" s="70" t="str">
        <f t="shared" si="1"/>
        <v/>
      </c>
      <c r="M59" s="11"/>
      <c r="N59" s="10"/>
      <c r="O59" s="10"/>
      <c r="P59" s="10"/>
    </row>
    <row r="60" spans="1:26" x14ac:dyDescent="0.25">
      <c r="A60" s="56">
        <f t="shared" si="2"/>
        <v>0</v>
      </c>
      <c r="B60" s="59"/>
      <c r="C60" s="83" t="str">
        <f t="shared" si="5"/>
        <v/>
      </c>
      <c r="D60" s="34" t="str">
        <f t="shared" si="6"/>
        <v/>
      </c>
      <c r="E60" s="30" t="e">
        <f t="shared" si="0"/>
        <v>#VALUE!</v>
      </c>
      <c r="F60" s="55"/>
      <c r="G60" s="102">
        <v>5</v>
      </c>
      <c r="H60" s="30"/>
      <c r="I60" s="93"/>
      <c r="J60" s="30" t="s">
        <v>9</v>
      </c>
      <c r="K60" s="33" t="str">
        <f t="shared" si="7"/>
        <v/>
      </c>
      <c r="L60" s="70" t="str">
        <f t="shared" si="1"/>
        <v/>
      </c>
      <c r="M60" s="4"/>
      <c r="N60" s="10"/>
      <c r="O60" s="10"/>
      <c r="P60" s="10"/>
    </row>
    <row r="61" spans="1:26" x14ac:dyDescent="0.25">
      <c r="A61" s="56">
        <f t="shared" si="2"/>
        <v>0</v>
      </c>
      <c r="B61" s="59"/>
      <c r="C61" s="83" t="str">
        <f t="shared" si="5"/>
        <v/>
      </c>
      <c r="D61" s="34" t="str">
        <f t="shared" si="6"/>
        <v/>
      </c>
      <c r="E61" s="30" t="e">
        <f t="shared" si="0"/>
        <v>#VALUE!</v>
      </c>
      <c r="F61" s="55"/>
      <c r="G61" s="102">
        <v>5</v>
      </c>
      <c r="H61" s="30"/>
      <c r="I61" s="93"/>
      <c r="J61" s="30" t="s">
        <v>9</v>
      </c>
      <c r="K61" s="33" t="str">
        <f t="shared" si="7"/>
        <v/>
      </c>
      <c r="L61" s="70" t="str">
        <f t="shared" si="1"/>
        <v/>
      </c>
      <c r="M61" s="11"/>
      <c r="N61" s="10"/>
      <c r="O61" s="10"/>
      <c r="P61" s="10"/>
    </row>
    <row r="62" spans="1:26" x14ac:dyDescent="0.25">
      <c r="A62" s="56">
        <f t="shared" si="2"/>
        <v>0</v>
      </c>
      <c r="B62" s="59"/>
      <c r="C62" s="83" t="str">
        <f t="shared" si="5"/>
        <v/>
      </c>
      <c r="D62" s="34" t="str">
        <f t="shared" si="6"/>
        <v/>
      </c>
      <c r="E62" s="30" t="e">
        <f t="shared" si="0"/>
        <v>#VALUE!</v>
      </c>
      <c r="F62" s="55"/>
      <c r="G62" s="102">
        <v>5</v>
      </c>
      <c r="H62" s="30"/>
      <c r="I62" s="93"/>
      <c r="J62" s="30" t="s">
        <v>9</v>
      </c>
      <c r="K62" s="33" t="str">
        <f t="shared" si="7"/>
        <v/>
      </c>
      <c r="L62" s="70" t="str">
        <f t="shared" si="1"/>
        <v/>
      </c>
      <c r="M62" s="11"/>
      <c r="N62" s="10"/>
      <c r="O62" s="10"/>
      <c r="P62" s="10"/>
    </row>
    <row r="63" spans="1:26" x14ac:dyDescent="0.25">
      <c r="A63" s="56">
        <f t="shared" si="2"/>
        <v>0</v>
      </c>
      <c r="B63" s="59"/>
      <c r="C63" s="83" t="str">
        <f t="shared" si="5"/>
        <v/>
      </c>
      <c r="D63" s="34" t="str">
        <f t="shared" si="6"/>
        <v/>
      </c>
      <c r="E63" s="30" t="e">
        <f t="shared" si="0"/>
        <v>#VALUE!</v>
      </c>
      <c r="F63" s="55"/>
      <c r="G63" s="102">
        <v>5</v>
      </c>
      <c r="H63" s="30"/>
      <c r="I63" s="93"/>
      <c r="J63" s="30" t="s">
        <v>9</v>
      </c>
      <c r="K63" s="33" t="str">
        <f t="shared" si="7"/>
        <v/>
      </c>
      <c r="L63" s="70" t="str">
        <f t="shared" si="1"/>
        <v/>
      </c>
      <c r="M63" s="42"/>
      <c r="N63" s="10"/>
      <c r="O63" s="10"/>
      <c r="P63" s="10"/>
    </row>
    <row r="64" spans="1:26" x14ac:dyDescent="0.25">
      <c r="A64" s="56">
        <f t="shared" si="2"/>
        <v>0</v>
      </c>
      <c r="B64" s="59"/>
      <c r="C64" s="83" t="str">
        <f t="shared" si="5"/>
        <v/>
      </c>
      <c r="D64" s="34" t="str">
        <f t="shared" si="6"/>
        <v/>
      </c>
      <c r="E64" s="30" t="e">
        <f t="shared" si="0"/>
        <v>#VALUE!</v>
      </c>
      <c r="F64" s="55"/>
      <c r="G64" s="102">
        <v>5</v>
      </c>
      <c r="H64" s="30"/>
      <c r="I64" s="93"/>
      <c r="J64" s="30" t="s">
        <v>9</v>
      </c>
      <c r="K64" s="33" t="str">
        <f t="shared" si="7"/>
        <v/>
      </c>
      <c r="L64" s="70" t="str">
        <f t="shared" si="1"/>
        <v/>
      </c>
      <c r="M64" s="11"/>
      <c r="N64" s="10"/>
      <c r="O64" s="10"/>
      <c r="P64" s="10"/>
    </row>
    <row r="65" spans="1:16" x14ac:dyDescent="0.25">
      <c r="A65" s="56">
        <f t="shared" si="2"/>
        <v>0</v>
      </c>
      <c r="B65" s="59"/>
      <c r="C65" s="83" t="str">
        <f t="shared" si="5"/>
        <v/>
      </c>
      <c r="D65" s="34" t="str">
        <f t="shared" si="6"/>
        <v/>
      </c>
      <c r="E65" s="30" t="e">
        <f t="shared" si="0"/>
        <v>#VALUE!</v>
      </c>
      <c r="F65" s="55"/>
      <c r="G65" s="102">
        <v>5</v>
      </c>
      <c r="H65" s="30"/>
      <c r="I65" s="93"/>
      <c r="J65" s="30" t="s">
        <v>9</v>
      </c>
      <c r="K65" s="33" t="str">
        <f t="shared" si="7"/>
        <v/>
      </c>
      <c r="L65" s="70" t="str">
        <f t="shared" si="1"/>
        <v/>
      </c>
      <c r="M65" s="11"/>
      <c r="N65" s="10"/>
      <c r="O65" s="10"/>
      <c r="P65" s="10"/>
    </row>
    <row r="66" spans="1:16" x14ac:dyDescent="0.25">
      <c r="A66" s="56">
        <f t="shared" si="2"/>
        <v>0</v>
      </c>
      <c r="B66" s="59"/>
      <c r="C66" s="83" t="str">
        <f t="shared" si="5"/>
        <v/>
      </c>
      <c r="D66" s="34" t="str">
        <f t="shared" si="6"/>
        <v/>
      </c>
      <c r="E66" s="30" t="e">
        <f t="shared" si="0"/>
        <v>#VALUE!</v>
      </c>
      <c r="F66" s="55"/>
      <c r="G66" s="102">
        <v>5</v>
      </c>
      <c r="H66" s="30"/>
      <c r="I66" s="93"/>
      <c r="J66" s="30" t="s">
        <v>9</v>
      </c>
      <c r="K66" s="33" t="str">
        <f t="shared" si="7"/>
        <v/>
      </c>
      <c r="L66" s="70" t="str">
        <f t="shared" si="1"/>
        <v/>
      </c>
      <c r="M66" s="11"/>
      <c r="N66" s="10"/>
      <c r="O66" s="10"/>
      <c r="P66" s="10"/>
    </row>
    <row r="67" spans="1:16" x14ac:dyDescent="0.25">
      <c r="A67" s="56">
        <f t="shared" si="2"/>
        <v>0</v>
      </c>
      <c r="B67" s="59"/>
      <c r="C67" s="83" t="str">
        <f t="shared" si="5"/>
        <v/>
      </c>
      <c r="D67" s="34" t="str">
        <f t="shared" si="6"/>
        <v/>
      </c>
      <c r="E67" s="30" t="e">
        <f t="shared" si="0"/>
        <v>#VALUE!</v>
      </c>
      <c r="F67" s="55"/>
      <c r="G67" s="102">
        <v>5</v>
      </c>
      <c r="H67" s="30"/>
      <c r="I67" s="93"/>
      <c r="J67" s="30" t="s">
        <v>9</v>
      </c>
      <c r="K67" s="33" t="str">
        <f t="shared" si="7"/>
        <v/>
      </c>
      <c r="L67" s="70" t="str">
        <f t="shared" si="1"/>
        <v/>
      </c>
      <c r="M67" s="11"/>
      <c r="N67" s="10"/>
      <c r="O67" s="10"/>
      <c r="P67" s="10"/>
    </row>
    <row r="68" spans="1:16" x14ac:dyDescent="0.25">
      <c r="A68" s="56">
        <f t="shared" si="2"/>
        <v>0</v>
      </c>
      <c r="B68" s="59"/>
      <c r="C68" s="83" t="str">
        <f t="shared" si="5"/>
        <v/>
      </c>
      <c r="D68" s="34" t="str">
        <f t="shared" si="6"/>
        <v/>
      </c>
      <c r="E68" s="30" t="e">
        <f t="shared" si="0"/>
        <v>#VALUE!</v>
      </c>
      <c r="F68" s="55"/>
      <c r="G68" s="102">
        <v>5</v>
      </c>
      <c r="H68" s="30"/>
      <c r="I68" s="93"/>
      <c r="J68" s="30" t="s">
        <v>9</v>
      </c>
      <c r="K68" s="33" t="str">
        <f t="shared" si="7"/>
        <v/>
      </c>
      <c r="L68" s="70" t="str">
        <f t="shared" si="1"/>
        <v/>
      </c>
      <c r="M68" s="11"/>
      <c r="N68" s="10"/>
      <c r="O68" s="10"/>
      <c r="P68" s="10"/>
    </row>
    <row r="69" spans="1:16" x14ac:dyDescent="0.25">
      <c r="A69" s="56">
        <f t="shared" si="2"/>
        <v>0</v>
      </c>
      <c r="B69" s="59"/>
      <c r="C69" s="83" t="str">
        <f t="shared" si="5"/>
        <v/>
      </c>
      <c r="D69" s="34" t="str">
        <f t="shared" si="6"/>
        <v/>
      </c>
      <c r="E69" s="30" t="e">
        <f t="shared" si="0"/>
        <v>#VALUE!</v>
      </c>
      <c r="F69" s="55"/>
      <c r="G69" s="102">
        <v>5</v>
      </c>
      <c r="H69" s="30"/>
      <c r="I69" s="93"/>
      <c r="J69" s="30" t="s">
        <v>9</v>
      </c>
      <c r="K69" s="33" t="str">
        <f t="shared" si="7"/>
        <v/>
      </c>
      <c r="L69" s="70" t="str">
        <f t="shared" si="1"/>
        <v/>
      </c>
      <c r="M69" s="11"/>
      <c r="N69" s="10"/>
      <c r="O69" s="10"/>
      <c r="P69" s="10"/>
    </row>
    <row r="70" spans="1:16" x14ac:dyDescent="0.25">
      <c r="A70" s="56">
        <f t="shared" si="2"/>
        <v>0</v>
      </c>
      <c r="B70" s="59"/>
      <c r="C70" s="83" t="str">
        <f t="shared" si="5"/>
        <v/>
      </c>
      <c r="D70" s="34" t="str">
        <f t="shared" si="6"/>
        <v/>
      </c>
      <c r="E70" s="30" t="e">
        <f t="shared" si="0"/>
        <v>#VALUE!</v>
      </c>
      <c r="F70" s="55"/>
      <c r="G70" s="102">
        <v>5</v>
      </c>
      <c r="H70" s="30"/>
      <c r="I70" s="93"/>
      <c r="J70" s="30" t="s">
        <v>9</v>
      </c>
      <c r="K70" s="33" t="str">
        <f t="shared" si="7"/>
        <v/>
      </c>
      <c r="L70" s="70" t="str">
        <f t="shared" si="1"/>
        <v/>
      </c>
      <c r="M70" s="11"/>
      <c r="N70" s="10"/>
      <c r="O70" s="10"/>
      <c r="P70" s="10"/>
    </row>
    <row r="71" spans="1:16" x14ac:dyDescent="0.25">
      <c r="A71" s="56">
        <f t="shared" si="2"/>
        <v>0</v>
      </c>
      <c r="B71" s="59"/>
      <c r="C71" s="83" t="str">
        <f t="shared" si="5"/>
        <v/>
      </c>
      <c r="D71" s="34" t="str">
        <f t="shared" si="6"/>
        <v/>
      </c>
      <c r="E71" s="30" t="e">
        <f t="shared" si="0"/>
        <v>#VALUE!</v>
      </c>
      <c r="F71" s="55"/>
      <c r="G71" s="102">
        <v>5</v>
      </c>
      <c r="H71" s="30"/>
      <c r="I71" s="93"/>
      <c r="J71" s="30" t="s">
        <v>9</v>
      </c>
      <c r="K71" s="33" t="str">
        <f t="shared" si="7"/>
        <v/>
      </c>
      <c r="L71" s="70" t="str">
        <f t="shared" si="1"/>
        <v/>
      </c>
      <c r="M71" s="11"/>
      <c r="N71" s="10"/>
      <c r="O71" s="10"/>
      <c r="P71" s="10"/>
    </row>
    <row r="72" spans="1:16" x14ac:dyDescent="0.25">
      <c r="A72" s="56">
        <f t="shared" si="2"/>
        <v>0</v>
      </c>
      <c r="B72" s="59"/>
      <c r="C72" s="83" t="str">
        <f t="shared" si="5"/>
        <v/>
      </c>
      <c r="D72" s="34" t="str">
        <f t="shared" si="6"/>
        <v/>
      </c>
      <c r="E72" s="30" t="e">
        <f t="shared" si="0"/>
        <v>#VALUE!</v>
      </c>
      <c r="F72" s="55"/>
      <c r="G72" s="102">
        <v>5</v>
      </c>
      <c r="H72" s="30"/>
      <c r="I72" s="93"/>
      <c r="J72" s="30" t="s">
        <v>9</v>
      </c>
      <c r="K72" s="33" t="str">
        <f t="shared" si="7"/>
        <v/>
      </c>
      <c r="L72" s="70" t="str">
        <f t="shared" si="1"/>
        <v/>
      </c>
      <c r="M72" s="11"/>
      <c r="N72" s="10"/>
      <c r="O72" s="10"/>
      <c r="P72" s="10"/>
    </row>
    <row r="73" spans="1:16" x14ac:dyDescent="0.25">
      <c r="A73" s="56">
        <f t="shared" si="2"/>
        <v>0</v>
      </c>
      <c r="B73" s="59"/>
      <c r="C73" s="83" t="str">
        <f t="shared" si="5"/>
        <v/>
      </c>
      <c r="D73" s="34" t="str">
        <f t="shared" si="6"/>
        <v/>
      </c>
      <c r="E73" s="30" t="e">
        <f t="shared" si="0"/>
        <v>#VALUE!</v>
      </c>
      <c r="F73" s="55"/>
      <c r="G73" s="102">
        <v>5</v>
      </c>
      <c r="H73" s="30"/>
      <c r="I73" s="93"/>
      <c r="J73" s="30" t="s">
        <v>9</v>
      </c>
      <c r="K73" s="33" t="str">
        <f t="shared" si="7"/>
        <v/>
      </c>
      <c r="L73" s="70" t="str">
        <f t="shared" si="1"/>
        <v/>
      </c>
      <c r="M73" s="11"/>
      <c r="N73" s="10"/>
      <c r="O73" s="10"/>
      <c r="P73" s="10"/>
    </row>
    <row r="74" spans="1:16" x14ac:dyDescent="0.25">
      <c r="A74" s="56">
        <f t="shared" si="2"/>
        <v>0</v>
      </c>
      <c r="B74" s="59"/>
      <c r="C74" s="83" t="str">
        <f t="shared" si="5"/>
        <v/>
      </c>
      <c r="D74" s="34" t="str">
        <f t="shared" si="6"/>
        <v/>
      </c>
      <c r="E74" s="30" t="e">
        <f t="shared" si="0"/>
        <v>#VALUE!</v>
      </c>
      <c r="F74" s="55"/>
      <c r="G74" s="102">
        <v>5</v>
      </c>
      <c r="H74" s="30"/>
      <c r="I74" s="93"/>
      <c r="J74" s="30" t="s">
        <v>9</v>
      </c>
      <c r="K74" s="33" t="str">
        <f t="shared" si="7"/>
        <v/>
      </c>
      <c r="L74" s="70" t="str">
        <f t="shared" si="1"/>
        <v/>
      </c>
      <c r="M74" s="11"/>
      <c r="N74" s="10"/>
      <c r="O74" s="10"/>
      <c r="P74" s="10"/>
    </row>
    <row r="75" spans="1:16" x14ac:dyDescent="0.25">
      <c r="A75" s="56">
        <f t="shared" si="2"/>
        <v>0</v>
      </c>
      <c r="B75" s="59"/>
      <c r="C75" s="83" t="str">
        <f t="shared" si="5"/>
        <v/>
      </c>
      <c r="D75" s="34" t="str">
        <f t="shared" si="6"/>
        <v/>
      </c>
      <c r="E75" s="30" t="e">
        <f t="shared" si="0"/>
        <v>#VALUE!</v>
      </c>
      <c r="F75" s="55"/>
      <c r="G75" s="102">
        <v>5</v>
      </c>
      <c r="H75" s="30"/>
      <c r="I75" s="93"/>
      <c r="J75" s="30" t="s">
        <v>9</v>
      </c>
      <c r="K75" s="33" t="str">
        <f t="shared" si="7"/>
        <v/>
      </c>
      <c r="L75" s="70" t="str">
        <f t="shared" si="1"/>
        <v/>
      </c>
      <c r="M75" s="11"/>
      <c r="N75" s="10"/>
      <c r="O75" s="10"/>
      <c r="P75" s="10"/>
    </row>
    <row r="76" spans="1:16" x14ac:dyDescent="0.25">
      <c r="A76" s="56">
        <f t="shared" si="2"/>
        <v>0</v>
      </c>
      <c r="B76" s="59"/>
      <c r="C76" s="83" t="str">
        <f t="shared" si="5"/>
        <v/>
      </c>
      <c r="D76" s="34" t="str">
        <f t="shared" si="6"/>
        <v/>
      </c>
      <c r="E76" s="30" t="e">
        <f t="shared" si="0"/>
        <v>#VALUE!</v>
      </c>
      <c r="F76" s="55"/>
      <c r="G76" s="102">
        <v>5</v>
      </c>
      <c r="H76" s="30"/>
      <c r="I76" s="93"/>
      <c r="J76" s="30" t="s">
        <v>9</v>
      </c>
      <c r="K76" s="33" t="str">
        <f t="shared" si="7"/>
        <v/>
      </c>
      <c r="L76" s="70" t="str">
        <f t="shared" si="1"/>
        <v/>
      </c>
      <c r="M76" s="11"/>
      <c r="N76" s="10"/>
      <c r="O76" s="10"/>
      <c r="P76" s="10"/>
    </row>
    <row r="77" spans="1:16" x14ac:dyDescent="0.25">
      <c r="A77" s="56">
        <f t="shared" si="2"/>
        <v>0</v>
      </c>
      <c r="B77" s="59"/>
      <c r="C77" s="83" t="str">
        <f t="shared" si="5"/>
        <v/>
      </c>
      <c r="D77" s="34" t="str">
        <f t="shared" si="6"/>
        <v/>
      </c>
      <c r="E77" s="30" t="e">
        <f t="shared" si="0"/>
        <v>#VALUE!</v>
      </c>
      <c r="F77" s="55"/>
      <c r="G77" s="102">
        <v>5</v>
      </c>
      <c r="H77" s="30"/>
      <c r="I77" s="93"/>
      <c r="J77" s="30" t="s">
        <v>9</v>
      </c>
      <c r="K77" s="33" t="str">
        <f t="shared" si="7"/>
        <v/>
      </c>
      <c r="L77" s="70" t="str">
        <f t="shared" si="1"/>
        <v/>
      </c>
      <c r="M77" s="11"/>
      <c r="N77" s="10"/>
      <c r="O77" s="10"/>
      <c r="P77" s="10"/>
    </row>
    <row r="78" spans="1:16" x14ac:dyDescent="0.25">
      <c r="A78" s="56">
        <f t="shared" si="2"/>
        <v>0</v>
      </c>
      <c r="B78" s="59"/>
      <c r="C78" s="83" t="str">
        <f t="shared" si="5"/>
        <v/>
      </c>
      <c r="D78" s="34" t="str">
        <f t="shared" si="6"/>
        <v/>
      </c>
      <c r="E78" s="30" t="e">
        <f t="shared" si="0"/>
        <v>#VALUE!</v>
      </c>
      <c r="F78" s="55"/>
      <c r="G78" s="102">
        <v>5</v>
      </c>
      <c r="H78" s="30"/>
      <c r="I78" s="93"/>
      <c r="J78" s="30" t="s">
        <v>9</v>
      </c>
      <c r="K78" s="33" t="str">
        <f t="shared" si="7"/>
        <v/>
      </c>
      <c r="L78" s="70" t="str">
        <f t="shared" si="1"/>
        <v/>
      </c>
      <c r="M78" s="11"/>
      <c r="N78" s="10"/>
      <c r="O78" s="10"/>
      <c r="P78" s="10"/>
    </row>
    <row r="79" spans="1:16" x14ac:dyDescent="0.25">
      <c r="A79" s="56">
        <f t="shared" si="2"/>
        <v>0</v>
      </c>
      <c r="B79" s="59"/>
      <c r="C79" s="83" t="str">
        <f t="shared" si="5"/>
        <v/>
      </c>
      <c r="D79" s="34" t="str">
        <f t="shared" si="6"/>
        <v/>
      </c>
      <c r="E79" s="30" t="e">
        <f t="shared" si="0"/>
        <v>#VALUE!</v>
      </c>
      <c r="F79" s="55"/>
      <c r="G79" s="102">
        <v>5</v>
      </c>
      <c r="H79" s="30"/>
      <c r="I79" s="93"/>
      <c r="J79" s="30" t="s">
        <v>9</v>
      </c>
      <c r="K79" s="33" t="str">
        <f t="shared" si="7"/>
        <v/>
      </c>
      <c r="L79" s="70" t="str">
        <f t="shared" si="1"/>
        <v/>
      </c>
      <c r="M79" s="11"/>
      <c r="N79" s="10"/>
      <c r="O79" s="10"/>
      <c r="P79" s="10"/>
    </row>
    <row r="80" spans="1:16" x14ac:dyDescent="0.25">
      <c r="A80" s="56">
        <f t="shared" si="2"/>
        <v>0</v>
      </c>
      <c r="B80" s="59"/>
      <c r="C80" s="83" t="str">
        <f t="shared" si="5"/>
        <v/>
      </c>
      <c r="D80" s="34" t="str">
        <f t="shared" si="6"/>
        <v/>
      </c>
      <c r="E80" s="30" t="e">
        <f t="shared" si="0"/>
        <v>#VALUE!</v>
      </c>
      <c r="F80" s="55"/>
      <c r="G80" s="102">
        <v>5</v>
      </c>
      <c r="H80" s="30"/>
      <c r="I80" s="93"/>
      <c r="J80" s="30" t="s">
        <v>9</v>
      </c>
      <c r="K80" s="33" t="str">
        <f t="shared" si="7"/>
        <v/>
      </c>
      <c r="L80" s="70" t="str">
        <f t="shared" si="1"/>
        <v/>
      </c>
      <c r="M80" s="10"/>
      <c r="N80" s="10"/>
      <c r="O80" s="10"/>
      <c r="P80" s="10"/>
    </row>
    <row r="81" spans="1:16" x14ac:dyDescent="0.25">
      <c r="A81" s="56">
        <f t="shared" si="2"/>
        <v>0</v>
      </c>
      <c r="B81" s="59"/>
      <c r="C81" s="83" t="str">
        <f t="shared" si="5"/>
        <v/>
      </c>
      <c r="D81" s="34" t="str">
        <f t="shared" si="6"/>
        <v/>
      </c>
      <c r="E81" s="30" t="e">
        <f t="shared" si="0"/>
        <v>#VALUE!</v>
      </c>
      <c r="F81" s="55"/>
      <c r="G81" s="102">
        <v>5</v>
      </c>
      <c r="H81" s="30"/>
      <c r="I81" s="93"/>
      <c r="J81" s="30" t="s">
        <v>9</v>
      </c>
      <c r="K81" s="33" t="str">
        <f t="shared" si="7"/>
        <v/>
      </c>
      <c r="L81" s="70" t="str">
        <f t="shared" si="1"/>
        <v/>
      </c>
      <c r="M81" s="10"/>
      <c r="N81" s="10"/>
      <c r="O81" s="10"/>
      <c r="P81" s="10"/>
    </row>
    <row r="82" spans="1:16" x14ac:dyDescent="0.25">
      <c r="A82" s="56">
        <f t="shared" si="2"/>
        <v>0</v>
      </c>
      <c r="B82" s="59"/>
      <c r="C82" s="83" t="str">
        <f t="shared" si="5"/>
        <v/>
      </c>
      <c r="D82" s="34" t="str">
        <f t="shared" si="6"/>
        <v/>
      </c>
      <c r="E82" s="30" t="e">
        <f t="shared" si="0"/>
        <v>#VALUE!</v>
      </c>
      <c r="F82" s="55"/>
      <c r="G82" s="102">
        <v>5</v>
      </c>
      <c r="H82" s="30"/>
      <c r="I82" s="93"/>
      <c r="J82" s="30" t="s">
        <v>9</v>
      </c>
      <c r="K82" s="33" t="str">
        <f t="shared" si="7"/>
        <v/>
      </c>
      <c r="L82" s="70" t="str">
        <f t="shared" si="1"/>
        <v/>
      </c>
      <c r="M82" s="10"/>
      <c r="N82" s="10"/>
      <c r="O82" s="10"/>
      <c r="P82" s="10"/>
    </row>
    <row r="83" spans="1:16" x14ac:dyDescent="0.25">
      <c r="A83" s="56">
        <f t="shared" si="2"/>
        <v>0</v>
      </c>
      <c r="B83" s="59"/>
      <c r="C83" s="83" t="str">
        <f t="shared" si="5"/>
        <v/>
      </c>
      <c r="D83" s="34" t="str">
        <f t="shared" si="6"/>
        <v/>
      </c>
      <c r="E83" s="30" t="e">
        <f t="shared" si="0"/>
        <v>#VALUE!</v>
      </c>
      <c r="F83" s="55"/>
      <c r="G83" s="102">
        <v>5</v>
      </c>
      <c r="H83" s="30"/>
      <c r="I83" s="93"/>
      <c r="J83" s="30" t="s">
        <v>9</v>
      </c>
      <c r="K83" s="33" t="str">
        <f t="shared" si="7"/>
        <v/>
      </c>
      <c r="L83" s="70" t="str">
        <f t="shared" si="1"/>
        <v/>
      </c>
      <c r="M83" s="10"/>
      <c r="N83" s="10"/>
      <c r="O83" s="10"/>
      <c r="P83" s="10"/>
    </row>
    <row r="84" spans="1:16" x14ac:dyDescent="0.25">
      <c r="A84" s="56">
        <f t="shared" si="2"/>
        <v>0</v>
      </c>
      <c r="B84" s="59"/>
      <c r="C84" s="83" t="str">
        <f t="shared" si="5"/>
        <v/>
      </c>
      <c r="D84" s="34" t="str">
        <f t="shared" si="6"/>
        <v/>
      </c>
      <c r="E84" s="30" t="e">
        <f t="shared" ref="E84:E99" si="8">(C84*F84/100)</f>
        <v>#VALUE!</v>
      </c>
      <c r="F84" s="55"/>
      <c r="G84" s="102">
        <v>5</v>
      </c>
      <c r="H84" s="30"/>
      <c r="I84" s="93"/>
      <c r="J84" s="30" t="s">
        <v>9</v>
      </c>
      <c r="K84" s="33" t="str">
        <f t="shared" si="7"/>
        <v/>
      </c>
      <c r="L84" s="70" t="str">
        <f t="shared" ref="L84:L99" si="9">IF(K84="","",ROUND((K84*1000/$J$10),2))</f>
        <v/>
      </c>
      <c r="M84" s="10"/>
      <c r="N84" s="10"/>
      <c r="O84" s="10"/>
      <c r="P84" s="10"/>
    </row>
    <row r="85" spans="1:16" x14ac:dyDescent="0.25">
      <c r="A85" s="56">
        <f t="shared" ref="A85:A99" si="10">IF(H85="",0,1)</f>
        <v>0</v>
      </c>
      <c r="B85" s="59"/>
      <c r="C85" s="83" t="str">
        <f t="shared" si="5"/>
        <v/>
      </c>
      <c r="D85" s="34" t="str">
        <f t="shared" si="6"/>
        <v/>
      </c>
      <c r="E85" s="30" t="e">
        <f t="shared" si="8"/>
        <v>#VALUE!</v>
      </c>
      <c r="F85" s="55"/>
      <c r="G85" s="102">
        <v>5</v>
      </c>
      <c r="H85" s="30"/>
      <c r="I85" s="93"/>
      <c r="J85" s="30" t="s">
        <v>9</v>
      </c>
      <c r="K85" s="33" t="str">
        <f t="shared" si="7"/>
        <v/>
      </c>
      <c r="L85" s="70" t="str">
        <f t="shared" si="9"/>
        <v/>
      </c>
      <c r="M85" s="10"/>
      <c r="N85" s="10"/>
      <c r="O85" s="10"/>
      <c r="P85" s="10"/>
    </row>
    <row r="86" spans="1:16" x14ac:dyDescent="0.25">
      <c r="A86" s="56">
        <f t="shared" si="10"/>
        <v>0</v>
      </c>
      <c r="B86" s="59"/>
      <c r="C86" s="83" t="str">
        <f t="shared" si="5"/>
        <v/>
      </c>
      <c r="D86" s="34" t="str">
        <f t="shared" si="6"/>
        <v/>
      </c>
      <c r="E86" s="30" t="e">
        <f t="shared" si="8"/>
        <v>#VALUE!</v>
      </c>
      <c r="F86" s="55"/>
      <c r="G86" s="102">
        <v>5</v>
      </c>
      <c r="H86" s="30"/>
      <c r="I86" s="93"/>
      <c r="J86" s="30" t="s">
        <v>9</v>
      </c>
      <c r="K86" s="33" t="str">
        <f t="shared" si="7"/>
        <v/>
      </c>
      <c r="L86" s="70" t="str">
        <f t="shared" si="9"/>
        <v/>
      </c>
      <c r="M86" s="10"/>
      <c r="N86" s="10"/>
      <c r="O86" s="10"/>
      <c r="P86" s="10"/>
    </row>
    <row r="87" spans="1:16" x14ac:dyDescent="0.25">
      <c r="A87" s="56">
        <f t="shared" si="10"/>
        <v>0</v>
      </c>
      <c r="B87" s="59"/>
      <c r="C87" s="83" t="str">
        <f t="shared" si="5"/>
        <v/>
      </c>
      <c r="D87" s="34" t="str">
        <f t="shared" si="6"/>
        <v/>
      </c>
      <c r="E87" s="30" t="e">
        <f t="shared" si="8"/>
        <v>#VALUE!</v>
      </c>
      <c r="F87" s="55"/>
      <c r="G87" s="102">
        <v>5</v>
      </c>
      <c r="H87" s="30"/>
      <c r="I87" s="93"/>
      <c r="J87" s="30" t="s">
        <v>9</v>
      </c>
      <c r="K87" s="33" t="str">
        <f t="shared" si="7"/>
        <v/>
      </c>
      <c r="L87" s="70" t="str">
        <f t="shared" si="9"/>
        <v/>
      </c>
      <c r="M87" s="10"/>
      <c r="N87" s="10"/>
      <c r="O87" s="10"/>
      <c r="P87" s="10"/>
    </row>
    <row r="88" spans="1:16" x14ac:dyDescent="0.25">
      <c r="A88" s="56">
        <f t="shared" si="10"/>
        <v>0</v>
      </c>
      <c r="B88" s="59"/>
      <c r="C88" s="83" t="str">
        <f t="shared" si="5"/>
        <v/>
      </c>
      <c r="D88" s="34" t="str">
        <f t="shared" si="6"/>
        <v/>
      </c>
      <c r="E88" s="30" t="e">
        <f t="shared" si="8"/>
        <v>#VALUE!</v>
      </c>
      <c r="F88" s="55"/>
      <c r="G88" s="102">
        <v>5</v>
      </c>
      <c r="H88" s="30"/>
      <c r="I88" s="93"/>
      <c r="J88" s="30" t="s">
        <v>9</v>
      </c>
      <c r="K88" s="33" t="str">
        <f t="shared" si="7"/>
        <v/>
      </c>
      <c r="L88" s="70" t="str">
        <f t="shared" si="9"/>
        <v/>
      </c>
      <c r="M88" s="10"/>
      <c r="N88" s="10"/>
      <c r="O88" s="10"/>
      <c r="P88" s="10"/>
    </row>
    <row r="89" spans="1:16" x14ac:dyDescent="0.25">
      <c r="A89" s="56">
        <f t="shared" si="10"/>
        <v>0</v>
      </c>
      <c r="B89" s="59"/>
      <c r="C89" s="83" t="str">
        <f t="shared" si="5"/>
        <v/>
      </c>
      <c r="D89" s="34" t="str">
        <f t="shared" si="6"/>
        <v/>
      </c>
      <c r="E89" s="30" t="e">
        <f t="shared" si="8"/>
        <v>#VALUE!</v>
      </c>
      <c r="F89" s="55"/>
      <c r="G89" s="102">
        <v>5</v>
      </c>
      <c r="H89" s="30"/>
      <c r="I89" s="93"/>
      <c r="J89" s="30" t="s">
        <v>9</v>
      </c>
      <c r="K89" s="33" t="str">
        <f t="shared" si="7"/>
        <v/>
      </c>
      <c r="L89" s="70" t="str">
        <f t="shared" si="9"/>
        <v/>
      </c>
      <c r="M89" s="10"/>
      <c r="N89" s="10"/>
      <c r="O89" s="10"/>
      <c r="P89" s="10"/>
    </row>
    <row r="90" spans="1:16" x14ac:dyDescent="0.25">
      <c r="A90" s="56">
        <f t="shared" si="10"/>
        <v>0</v>
      </c>
      <c r="B90" s="59"/>
      <c r="C90" s="83" t="str">
        <f t="shared" si="5"/>
        <v/>
      </c>
      <c r="D90" s="34" t="str">
        <f t="shared" si="6"/>
        <v/>
      </c>
      <c r="E90" s="30" t="e">
        <f t="shared" si="8"/>
        <v>#VALUE!</v>
      </c>
      <c r="F90" s="55"/>
      <c r="G90" s="102">
        <v>5</v>
      </c>
      <c r="H90" s="30"/>
      <c r="I90" s="93"/>
      <c r="J90" s="30" t="s">
        <v>9</v>
      </c>
      <c r="K90" s="33" t="str">
        <f t="shared" si="7"/>
        <v/>
      </c>
      <c r="L90" s="70" t="str">
        <f t="shared" si="9"/>
        <v/>
      </c>
      <c r="M90" s="10"/>
      <c r="N90" s="10"/>
      <c r="O90" s="10"/>
      <c r="P90" s="10"/>
    </row>
    <row r="91" spans="1:16" x14ac:dyDescent="0.25">
      <c r="A91" s="56">
        <f t="shared" si="10"/>
        <v>0</v>
      </c>
      <c r="B91" s="59"/>
      <c r="C91" s="83" t="str">
        <f t="shared" si="5"/>
        <v/>
      </c>
      <c r="D91" s="34" t="str">
        <f t="shared" si="6"/>
        <v/>
      </c>
      <c r="E91" s="30" t="e">
        <f t="shared" si="8"/>
        <v>#VALUE!</v>
      </c>
      <c r="F91" s="55"/>
      <c r="G91" s="102">
        <v>5</v>
      </c>
      <c r="H91" s="30"/>
      <c r="I91" s="93"/>
      <c r="J91" s="30" t="s">
        <v>9</v>
      </c>
      <c r="K91" s="33" t="str">
        <f t="shared" si="7"/>
        <v/>
      </c>
      <c r="L91" s="70" t="str">
        <f t="shared" si="9"/>
        <v/>
      </c>
      <c r="M91" s="10"/>
      <c r="N91" s="10"/>
      <c r="O91" s="10"/>
      <c r="P91" s="10"/>
    </row>
    <row r="92" spans="1:16" x14ac:dyDescent="0.25">
      <c r="A92" s="56">
        <f t="shared" si="10"/>
        <v>0</v>
      </c>
      <c r="B92" s="59"/>
      <c r="C92" s="83" t="str">
        <f t="shared" si="5"/>
        <v/>
      </c>
      <c r="D92" s="34" t="str">
        <f t="shared" si="6"/>
        <v/>
      </c>
      <c r="E92" s="30" t="e">
        <f t="shared" si="8"/>
        <v>#VALUE!</v>
      </c>
      <c r="F92" s="55"/>
      <c r="G92" s="102">
        <v>5</v>
      </c>
      <c r="H92" s="30"/>
      <c r="I92" s="93"/>
      <c r="J92" s="30" t="s">
        <v>9</v>
      </c>
      <c r="K92" s="33" t="str">
        <f t="shared" si="7"/>
        <v/>
      </c>
      <c r="L92" s="70" t="str">
        <f t="shared" si="9"/>
        <v/>
      </c>
      <c r="M92" s="10"/>
      <c r="N92" s="10"/>
      <c r="O92" s="10"/>
      <c r="P92" s="10"/>
    </row>
    <row r="93" spans="1:16" x14ac:dyDescent="0.25">
      <c r="A93" s="56">
        <f t="shared" si="10"/>
        <v>0</v>
      </c>
      <c r="B93" s="59"/>
      <c r="C93" s="83" t="str">
        <f t="shared" si="5"/>
        <v/>
      </c>
      <c r="D93" s="34" t="str">
        <f t="shared" si="6"/>
        <v/>
      </c>
      <c r="E93" s="30" t="e">
        <f t="shared" si="8"/>
        <v>#VALUE!</v>
      </c>
      <c r="F93" s="55"/>
      <c r="G93" s="102">
        <v>5</v>
      </c>
      <c r="H93" s="30"/>
      <c r="I93" s="93"/>
      <c r="J93" s="30" t="s">
        <v>9</v>
      </c>
      <c r="K93" s="33" t="str">
        <f t="shared" si="7"/>
        <v/>
      </c>
      <c r="L93" s="70" t="str">
        <f t="shared" si="9"/>
        <v/>
      </c>
      <c r="M93" s="10"/>
      <c r="N93" s="10"/>
      <c r="O93" s="10"/>
      <c r="P93" s="10"/>
    </row>
    <row r="94" spans="1:16" x14ac:dyDescent="0.25">
      <c r="A94" s="56">
        <f t="shared" si="10"/>
        <v>0</v>
      </c>
      <c r="B94" s="59"/>
      <c r="C94" s="83" t="str">
        <f t="shared" si="5"/>
        <v/>
      </c>
      <c r="D94" s="34" t="str">
        <f t="shared" si="6"/>
        <v/>
      </c>
      <c r="E94" s="30" t="e">
        <f t="shared" si="8"/>
        <v>#VALUE!</v>
      </c>
      <c r="F94" s="55"/>
      <c r="G94" s="102">
        <v>5</v>
      </c>
      <c r="H94" s="30"/>
      <c r="I94" s="93"/>
      <c r="J94" s="30" t="s">
        <v>9</v>
      </c>
      <c r="K94" s="33" t="str">
        <f t="shared" si="7"/>
        <v/>
      </c>
      <c r="L94" s="70" t="str">
        <f t="shared" si="9"/>
        <v/>
      </c>
      <c r="M94" s="10"/>
      <c r="N94" s="10"/>
      <c r="O94" s="10"/>
      <c r="P94" s="10"/>
    </row>
    <row r="95" spans="1:16" x14ac:dyDescent="0.25">
      <c r="A95" s="56">
        <f t="shared" si="10"/>
        <v>0</v>
      </c>
      <c r="B95" s="59"/>
      <c r="C95" s="83" t="str">
        <f t="shared" si="5"/>
        <v/>
      </c>
      <c r="D95" s="34" t="str">
        <f t="shared" si="6"/>
        <v/>
      </c>
      <c r="E95" s="30" t="e">
        <f t="shared" si="8"/>
        <v>#VALUE!</v>
      </c>
      <c r="F95" s="55"/>
      <c r="G95" s="102">
        <v>5</v>
      </c>
      <c r="H95" s="30"/>
      <c r="I95" s="93"/>
      <c r="J95" s="30" t="s">
        <v>9</v>
      </c>
      <c r="K95" s="33" t="str">
        <f t="shared" si="7"/>
        <v/>
      </c>
      <c r="L95" s="70" t="str">
        <f t="shared" si="9"/>
        <v/>
      </c>
      <c r="M95" s="10"/>
      <c r="N95" s="10"/>
      <c r="O95" s="10"/>
      <c r="P95" s="10"/>
    </row>
    <row r="96" spans="1:16" x14ac:dyDescent="0.25">
      <c r="A96" s="56">
        <f t="shared" si="10"/>
        <v>0</v>
      </c>
      <c r="B96" s="59"/>
      <c r="C96" s="83" t="str">
        <f t="shared" si="5"/>
        <v/>
      </c>
      <c r="D96" s="34" t="str">
        <f t="shared" si="6"/>
        <v/>
      </c>
      <c r="E96" s="30" t="e">
        <f t="shared" si="8"/>
        <v>#VALUE!</v>
      </c>
      <c r="F96" s="55"/>
      <c r="G96" s="102">
        <v>5</v>
      </c>
      <c r="H96" s="30"/>
      <c r="I96" s="93"/>
      <c r="J96" s="30" t="s">
        <v>9</v>
      </c>
      <c r="K96" s="33" t="str">
        <f t="shared" si="7"/>
        <v/>
      </c>
      <c r="L96" s="70" t="str">
        <f t="shared" si="9"/>
        <v/>
      </c>
      <c r="M96" s="10"/>
      <c r="N96" s="10"/>
      <c r="O96" s="10"/>
      <c r="P96" s="10"/>
    </row>
    <row r="97" spans="1:16" x14ac:dyDescent="0.25">
      <c r="A97" s="56">
        <f t="shared" si="10"/>
        <v>0</v>
      </c>
      <c r="B97" s="59"/>
      <c r="C97" s="83" t="str">
        <f t="shared" si="5"/>
        <v/>
      </c>
      <c r="D97" s="34" t="str">
        <f t="shared" si="6"/>
        <v/>
      </c>
      <c r="E97" s="30" t="e">
        <f t="shared" si="8"/>
        <v>#VALUE!</v>
      </c>
      <c r="F97" s="55"/>
      <c r="G97" s="102">
        <v>5</v>
      </c>
      <c r="H97" s="30"/>
      <c r="I97" s="93"/>
      <c r="J97" s="30" t="s">
        <v>9</v>
      </c>
      <c r="K97" s="33" t="str">
        <f t="shared" si="7"/>
        <v/>
      </c>
      <c r="L97" s="70" t="str">
        <f t="shared" si="9"/>
        <v/>
      </c>
      <c r="M97" s="10"/>
      <c r="N97" s="10"/>
      <c r="O97" s="10"/>
      <c r="P97" s="10"/>
    </row>
    <row r="98" spans="1:16" x14ac:dyDescent="0.25">
      <c r="A98" s="56">
        <f t="shared" si="10"/>
        <v>0</v>
      </c>
      <c r="B98" s="59"/>
      <c r="C98" s="83" t="str">
        <f t="shared" si="5"/>
        <v/>
      </c>
      <c r="D98" s="34" t="str">
        <f t="shared" si="6"/>
        <v/>
      </c>
      <c r="E98" s="30" t="e">
        <f t="shared" si="8"/>
        <v>#VALUE!</v>
      </c>
      <c r="F98" s="55"/>
      <c r="G98" s="102">
        <v>5</v>
      </c>
      <c r="H98" s="30"/>
      <c r="I98" s="93"/>
      <c r="J98" s="30" t="s">
        <v>9</v>
      </c>
      <c r="K98" s="33" t="str">
        <f t="shared" si="7"/>
        <v/>
      </c>
      <c r="L98" s="70" t="str">
        <f t="shared" si="9"/>
        <v/>
      </c>
      <c r="M98" s="10"/>
      <c r="N98" s="10"/>
      <c r="O98" s="10"/>
      <c r="P98" s="10"/>
    </row>
    <row r="99" spans="1:16" x14ac:dyDescent="0.25">
      <c r="A99" s="56">
        <f t="shared" si="10"/>
        <v>0</v>
      </c>
      <c r="B99" s="59"/>
      <c r="C99" s="83" t="str">
        <f t="shared" si="5"/>
        <v/>
      </c>
      <c r="D99" s="34" t="str">
        <f t="shared" si="6"/>
        <v/>
      </c>
      <c r="E99" s="30" t="e">
        <f t="shared" si="8"/>
        <v>#VALUE!</v>
      </c>
      <c r="F99" s="55"/>
      <c r="G99" s="102">
        <v>5</v>
      </c>
      <c r="H99" s="30"/>
      <c r="I99" s="93"/>
      <c r="J99" s="30" t="s">
        <v>9</v>
      </c>
      <c r="K99" s="33" t="str">
        <f t="shared" si="7"/>
        <v/>
      </c>
      <c r="L99" s="70" t="str">
        <f t="shared" si="9"/>
        <v/>
      </c>
      <c r="M99" s="10"/>
      <c r="N99" s="10"/>
      <c r="O99" s="10"/>
      <c r="P99" s="10"/>
    </row>
    <row r="100" spans="1:16" x14ac:dyDescent="0.25">
      <c r="B100" s="10"/>
      <c r="C100" s="10"/>
      <c r="D100" s="10"/>
      <c r="E100" s="10"/>
      <c r="F100" s="10"/>
      <c r="G100" s="10"/>
      <c r="H100" s="57"/>
      <c r="I100" s="3"/>
      <c r="J100" s="2"/>
      <c r="K100" s="2"/>
      <c r="L100" s="62"/>
      <c r="M100" s="10"/>
      <c r="N100" s="10"/>
      <c r="O100" s="10"/>
      <c r="P100" s="10"/>
    </row>
    <row r="101" spans="1:16" x14ac:dyDescent="0.25">
      <c r="B101" s="10"/>
      <c r="C101" s="10"/>
      <c r="D101" s="10"/>
      <c r="E101" s="10"/>
      <c r="F101" s="10"/>
      <c r="G101" s="10"/>
      <c r="H101" s="37"/>
      <c r="I101" s="67"/>
      <c r="J101" s="18"/>
      <c r="K101" s="38"/>
      <c r="L101" s="39"/>
      <c r="M101" s="10"/>
      <c r="N101" s="10"/>
      <c r="O101" s="10"/>
      <c r="P101" s="10"/>
    </row>
    <row r="102" spans="1:16" x14ac:dyDescent="0.25">
      <c r="B102" s="10"/>
      <c r="C102" s="10"/>
      <c r="D102" s="10"/>
      <c r="E102" s="10"/>
      <c r="F102" s="10"/>
      <c r="G102" s="10"/>
      <c r="H102" s="64"/>
      <c r="I102" s="65"/>
      <c r="J102" s="65"/>
      <c r="K102" s="65"/>
      <c r="L102" s="66"/>
      <c r="M102" s="10"/>
      <c r="N102" s="10"/>
      <c r="O102" s="10"/>
      <c r="P102" s="10"/>
    </row>
    <row r="103" spans="1:16" x14ac:dyDescent="0.25">
      <c r="B103" s="10"/>
      <c r="C103" s="10"/>
      <c r="D103" s="10"/>
      <c r="E103" s="10"/>
      <c r="F103" s="10"/>
      <c r="G103" s="10"/>
      <c r="H103" s="37"/>
      <c r="I103" s="67"/>
      <c r="J103" s="18"/>
      <c r="K103" s="38"/>
      <c r="L103" s="39"/>
      <c r="M103" s="10"/>
      <c r="N103" s="10"/>
      <c r="O103" s="10"/>
      <c r="P103" s="10"/>
    </row>
    <row r="104" spans="1:16" x14ac:dyDescent="0.25">
      <c r="B104" s="10"/>
      <c r="C104" s="10"/>
      <c r="D104" s="10"/>
      <c r="E104" s="10"/>
      <c r="F104" s="10"/>
      <c r="G104" s="10"/>
      <c r="H104" s="40" t="s">
        <v>13</v>
      </c>
      <c r="I104" s="101"/>
      <c r="J104" s="5"/>
      <c r="K104" s="41"/>
      <c r="L104" s="63">
        <f>1000-SUM(L13:L101)</f>
        <v>1000</v>
      </c>
      <c r="M104" s="10"/>
      <c r="N104" s="10"/>
      <c r="O104" s="10"/>
      <c r="P104" s="10"/>
    </row>
    <row r="105" spans="1:16" x14ac:dyDescent="0.25">
      <c r="B105" s="10"/>
      <c r="C105" s="10"/>
      <c r="D105" s="10"/>
      <c r="E105" s="10"/>
      <c r="F105" s="10"/>
      <c r="G105" s="10"/>
      <c r="H105" s="11"/>
      <c r="I105" s="12"/>
      <c r="J105" s="11"/>
      <c r="K105" s="60">
        <f>SUM(K13:K103)</f>
        <v>0</v>
      </c>
      <c r="L105" s="61">
        <v>1000</v>
      </c>
      <c r="M105" s="10"/>
      <c r="N105" s="10"/>
      <c r="O105" s="10"/>
      <c r="P105" s="10"/>
    </row>
  </sheetData>
  <mergeCells count="11">
    <mergeCell ref="B3:G3"/>
    <mergeCell ref="B2:G2"/>
    <mergeCell ref="B1:G1"/>
    <mergeCell ref="I12:J13"/>
    <mergeCell ref="H12:H13"/>
    <mergeCell ref="B10:C11"/>
    <mergeCell ref="E12:F12"/>
    <mergeCell ref="C12:D12"/>
    <mergeCell ref="C13:D13"/>
    <mergeCell ref="B12:B13"/>
    <mergeCell ref="B4:G4"/>
  </mergeCells>
  <conditionalFormatting sqref="A14:A99">
    <cfRule type="cellIs" dxfId="1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65" r:id="rId4" name="CommandButton6">
          <controlPr defaultSize="0" autoLine="0" r:id="rId5">
            <anchor moveWithCells="1">
              <from>
                <xdr:col>6</xdr:col>
                <xdr:colOff>266700</xdr:colOff>
                <xdr:row>9</xdr:row>
                <xdr:rowOff>19050</xdr:rowOff>
              </from>
              <to>
                <xdr:col>7</xdr:col>
                <xdr:colOff>1733550</xdr:colOff>
                <xdr:row>10</xdr:row>
                <xdr:rowOff>133350</xdr:rowOff>
              </to>
            </anchor>
          </controlPr>
        </control>
      </mc:Choice>
      <mc:Fallback>
        <control shapeId="1165" r:id="rId4" name="CommandButton6"/>
      </mc:Fallback>
    </mc:AlternateContent>
    <mc:AlternateContent xmlns:mc="http://schemas.openxmlformats.org/markup-compatibility/2006">
      <mc:Choice Requires="x14">
        <control shapeId="1161" r:id="rId6" name="CommandButton4">
          <controlPr defaultSize="0" autoLine="0" r:id="rId7">
            <anchor moveWithCells="1">
              <from>
                <xdr:col>6</xdr:col>
                <xdr:colOff>276225</xdr:colOff>
                <xdr:row>7</xdr:row>
                <xdr:rowOff>57150</xdr:rowOff>
              </from>
              <to>
                <xdr:col>7</xdr:col>
                <xdr:colOff>1743075</xdr:colOff>
                <xdr:row>9</xdr:row>
                <xdr:rowOff>0</xdr:rowOff>
              </to>
            </anchor>
          </controlPr>
        </control>
      </mc:Choice>
      <mc:Fallback>
        <control shapeId="1161" r:id="rId6" name="CommandButton4"/>
      </mc:Fallback>
    </mc:AlternateContent>
    <mc:AlternateContent xmlns:mc="http://schemas.openxmlformats.org/markup-compatibility/2006">
      <mc:Choice Requires="x14">
        <control shapeId="1160" r:id="rId8" name="dosisrecomendada">
          <controlPr defaultSize="0" autoLine="0" r:id="rId9">
            <anchor moveWithCells="1">
              <from>
                <xdr:col>11</xdr:col>
                <xdr:colOff>47625</xdr:colOff>
                <xdr:row>7</xdr:row>
                <xdr:rowOff>104775</xdr:rowOff>
              </from>
              <to>
                <xdr:col>11</xdr:col>
                <xdr:colOff>828675</xdr:colOff>
                <xdr:row>9</xdr:row>
                <xdr:rowOff>104775</xdr:rowOff>
              </to>
            </anchor>
          </controlPr>
        </control>
      </mc:Choice>
      <mc:Fallback>
        <control shapeId="1160" r:id="rId8" name="dosisrecomendada"/>
      </mc:Fallback>
    </mc:AlternateContent>
    <mc:AlternateContent xmlns:mc="http://schemas.openxmlformats.org/markup-compatibility/2006">
      <mc:Choice Requires="x14">
        <control shapeId="1150" r:id="rId10" name="CommandButton2">
          <controlPr defaultSize="0" autoFill="0" autoLine="0" autoPict="0" r:id="rId11">
            <anchor moveWithCells="1">
              <from>
                <xdr:col>7</xdr:col>
                <xdr:colOff>123825</xdr:colOff>
                <xdr:row>1</xdr:row>
                <xdr:rowOff>19050</xdr:rowOff>
              </from>
              <to>
                <xdr:col>8</xdr:col>
                <xdr:colOff>209550</xdr:colOff>
                <xdr:row>2</xdr:row>
                <xdr:rowOff>133350</xdr:rowOff>
              </to>
            </anchor>
          </controlPr>
        </control>
      </mc:Choice>
      <mc:Fallback>
        <control shapeId="1150" r:id="rId10" name="CommandButton2"/>
      </mc:Fallback>
    </mc:AlternateContent>
    <mc:AlternateContent xmlns:mc="http://schemas.openxmlformats.org/markup-compatibility/2006">
      <mc:Choice Requires="x14">
        <control shapeId="1147" r:id="rId12" name="bfosforo">
          <controlPr defaultSize="0" autoLine="0" r:id="rId13">
            <anchor moveWithCells="1">
              <from>
                <xdr:col>15</xdr:col>
                <xdr:colOff>228600</xdr:colOff>
                <xdr:row>9</xdr:row>
                <xdr:rowOff>19050</xdr:rowOff>
              </from>
              <to>
                <xdr:col>15</xdr:col>
                <xdr:colOff>571500</xdr:colOff>
                <xdr:row>10</xdr:row>
                <xdr:rowOff>95250</xdr:rowOff>
              </to>
            </anchor>
          </controlPr>
        </control>
      </mc:Choice>
      <mc:Fallback>
        <control shapeId="1147" r:id="rId12" name="bfosforo"/>
      </mc:Fallback>
    </mc:AlternateContent>
    <mc:AlternateContent xmlns:mc="http://schemas.openxmlformats.org/markup-compatibility/2006">
      <mc:Choice Requires="x14">
        <control shapeId="1107" r:id="rId14" name="Label3">
          <controlPr defaultSize="0" autoLine="0" r:id="rId15">
            <anchor moveWithCells="1">
              <from>
                <xdr:col>8</xdr:col>
                <xdr:colOff>628650</xdr:colOff>
                <xdr:row>0</xdr:row>
                <xdr:rowOff>47625</xdr:rowOff>
              </from>
              <to>
                <xdr:col>11</xdr:col>
                <xdr:colOff>352425</xdr:colOff>
                <xdr:row>1</xdr:row>
                <xdr:rowOff>28575</xdr:rowOff>
              </to>
            </anchor>
          </controlPr>
        </control>
      </mc:Choice>
      <mc:Fallback>
        <control shapeId="1107" r:id="rId14" name="Label3"/>
      </mc:Fallback>
    </mc:AlternateContent>
    <mc:AlternateContent xmlns:mc="http://schemas.openxmlformats.org/markup-compatibility/2006">
      <mc:Choice Requires="x14">
        <control shapeId="1106" r:id="rId16" name="Label2">
          <controlPr defaultSize="0" autoLine="0" r:id="rId17">
            <anchor moveWithCells="1">
              <from>
                <xdr:col>8</xdr:col>
                <xdr:colOff>400050</xdr:colOff>
                <xdr:row>4</xdr:row>
                <xdr:rowOff>57150</xdr:rowOff>
              </from>
              <to>
                <xdr:col>12</xdr:col>
                <xdr:colOff>19050</xdr:colOff>
                <xdr:row>5</xdr:row>
                <xdr:rowOff>38100</xdr:rowOff>
              </to>
            </anchor>
          </controlPr>
        </control>
      </mc:Choice>
      <mc:Fallback>
        <control shapeId="1106" r:id="rId16" name="Label2"/>
      </mc:Fallback>
    </mc:AlternateContent>
    <mc:AlternateContent xmlns:mc="http://schemas.openxmlformats.org/markup-compatibility/2006">
      <mc:Choice Requires="x14">
        <control shapeId="1105" r:id="rId18" name="Label1">
          <controlPr defaultSize="0" autoLine="0" r:id="rId19">
            <anchor moveWithCells="1">
              <from>
                <xdr:col>8</xdr:col>
                <xdr:colOff>638175</xdr:colOff>
                <xdr:row>2</xdr:row>
                <xdr:rowOff>76200</xdr:rowOff>
              </from>
              <to>
                <xdr:col>11</xdr:col>
                <xdr:colOff>361950</xdr:colOff>
                <xdr:row>3</xdr:row>
                <xdr:rowOff>57150</xdr:rowOff>
              </to>
            </anchor>
          </controlPr>
        </control>
      </mc:Choice>
      <mc:Fallback>
        <control shapeId="1105" r:id="rId18" name="Label1"/>
      </mc:Fallback>
    </mc:AlternateContent>
    <mc:AlternateContent xmlns:mc="http://schemas.openxmlformats.org/markup-compatibility/2006">
      <mc:Choice Requires="x14">
        <control shapeId="1072" r:id="rId20" name="bvitaminaK">
          <controlPr defaultSize="0" autoLine="0" r:id="rId21">
            <anchor moveWithCells="1">
              <from>
                <xdr:col>13</xdr:col>
                <xdr:colOff>390525</xdr:colOff>
                <xdr:row>5</xdr:row>
                <xdr:rowOff>104775</xdr:rowOff>
              </from>
              <to>
                <xdr:col>13</xdr:col>
                <xdr:colOff>733425</xdr:colOff>
                <xdr:row>6</xdr:row>
                <xdr:rowOff>190500</xdr:rowOff>
              </to>
            </anchor>
          </controlPr>
        </control>
      </mc:Choice>
      <mc:Fallback>
        <control shapeId="1072" r:id="rId20" name="bvitaminaK"/>
      </mc:Fallback>
    </mc:AlternateContent>
    <mc:AlternateContent xmlns:mc="http://schemas.openxmlformats.org/markup-compatibility/2006">
      <mc:Choice Requires="x14">
        <control shapeId="1071" r:id="rId22" name="bvitaminaE">
          <controlPr defaultSize="0" autoLine="0" r:id="rId23">
            <anchor moveWithCells="1">
              <from>
                <xdr:col>13</xdr:col>
                <xdr:colOff>390525</xdr:colOff>
                <xdr:row>3</xdr:row>
                <xdr:rowOff>142875</xdr:rowOff>
              </from>
              <to>
                <xdr:col>13</xdr:col>
                <xdr:colOff>733425</xdr:colOff>
                <xdr:row>5</xdr:row>
                <xdr:rowOff>28575</xdr:rowOff>
              </to>
            </anchor>
          </controlPr>
        </control>
      </mc:Choice>
      <mc:Fallback>
        <control shapeId="1071" r:id="rId22" name="bvitaminaE"/>
      </mc:Fallback>
    </mc:AlternateContent>
    <mc:AlternateContent xmlns:mc="http://schemas.openxmlformats.org/markup-compatibility/2006">
      <mc:Choice Requires="x14">
        <control shapeId="1070" r:id="rId24" name="bvitaminaD">
          <controlPr defaultSize="0" autoLine="0" r:id="rId25">
            <anchor moveWithCells="1">
              <from>
                <xdr:col>13</xdr:col>
                <xdr:colOff>400050</xdr:colOff>
                <xdr:row>1</xdr:row>
                <xdr:rowOff>180975</xdr:rowOff>
              </from>
              <to>
                <xdr:col>13</xdr:col>
                <xdr:colOff>742950</xdr:colOff>
                <xdr:row>3</xdr:row>
                <xdr:rowOff>76200</xdr:rowOff>
              </to>
            </anchor>
          </controlPr>
        </control>
      </mc:Choice>
      <mc:Fallback>
        <control shapeId="1070" r:id="rId24" name="bvitaminaD"/>
      </mc:Fallback>
    </mc:AlternateContent>
    <mc:AlternateContent xmlns:mc="http://schemas.openxmlformats.org/markup-compatibility/2006">
      <mc:Choice Requires="x14">
        <control shapeId="1069" r:id="rId26" name="bvitaminaC">
          <controlPr defaultSize="0" autoLine="0" r:id="rId27">
            <anchor moveWithCells="1">
              <from>
                <xdr:col>13</xdr:col>
                <xdr:colOff>0</xdr:colOff>
                <xdr:row>9</xdr:row>
                <xdr:rowOff>19050</xdr:rowOff>
              </from>
              <to>
                <xdr:col>13</xdr:col>
                <xdr:colOff>342900</xdr:colOff>
                <xdr:row>10</xdr:row>
                <xdr:rowOff>95250</xdr:rowOff>
              </to>
            </anchor>
          </controlPr>
        </control>
      </mc:Choice>
      <mc:Fallback>
        <control shapeId="1069" r:id="rId26" name="bvitaminaC"/>
      </mc:Fallback>
    </mc:AlternateContent>
    <mc:AlternateContent xmlns:mc="http://schemas.openxmlformats.org/markup-compatibility/2006">
      <mc:Choice Requires="x14">
        <control shapeId="1068" r:id="rId28" name="bvitaminaB12">
          <controlPr defaultSize="0" autoLine="0" r:id="rId29">
            <anchor moveWithCells="1">
              <from>
                <xdr:col>13</xdr:col>
                <xdr:colOff>0</xdr:colOff>
                <xdr:row>7</xdr:row>
                <xdr:rowOff>57150</xdr:rowOff>
              </from>
              <to>
                <xdr:col>13</xdr:col>
                <xdr:colOff>342900</xdr:colOff>
                <xdr:row>8</xdr:row>
                <xdr:rowOff>142875</xdr:rowOff>
              </to>
            </anchor>
          </controlPr>
        </control>
      </mc:Choice>
      <mc:Fallback>
        <control shapeId="1068" r:id="rId28" name="bvitaminaB12"/>
      </mc:Fallback>
    </mc:AlternateContent>
    <mc:AlternateContent xmlns:mc="http://schemas.openxmlformats.org/markup-compatibility/2006">
      <mc:Choice Requires="x14">
        <control shapeId="1067" r:id="rId30" name="bvitaminaB9">
          <controlPr defaultSize="0" autoLine="0" r:id="rId31">
            <anchor moveWithCells="1">
              <from>
                <xdr:col>12</xdr:col>
                <xdr:colOff>838200</xdr:colOff>
                <xdr:row>5</xdr:row>
                <xdr:rowOff>104775</xdr:rowOff>
              </from>
              <to>
                <xdr:col>13</xdr:col>
                <xdr:colOff>323850</xdr:colOff>
                <xdr:row>6</xdr:row>
                <xdr:rowOff>190500</xdr:rowOff>
              </to>
            </anchor>
          </controlPr>
        </control>
      </mc:Choice>
      <mc:Fallback>
        <control shapeId="1067" r:id="rId30" name="bvitaminaB9"/>
      </mc:Fallback>
    </mc:AlternateContent>
    <mc:AlternateContent xmlns:mc="http://schemas.openxmlformats.org/markup-compatibility/2006">
      <mc:Choice Requires="x14">
        <control shapeId="1066" r:id="rId32" name="bvitaminaB8">
          <controlPr defaultSize="0" autoLine="0" r:id="rId33">
            <anchor moveWithCells="1">
              <from>
                <xdr:col>12</xdr:col>
                <xdr:colOff>838200</xdr:colOff>
                <xdr:row>3</xdr:row>
                <xdr:rowOff>152400</xdr:rowOff>
              </from>
              <to>
                <xdr:col>13</xdr:col>
                <xdr:colOff>323850</xdr:colOff>
                <xdr:row>5</xdr:row>
                <xdr:rowOff>38100</xdr:rowOff>
              </to>
            </anchor>
          </controlPr>
        </control>
      </mc:Choice>
      <mc:Fallback>
        <control shapeId="1066" r:id="rId32" name="bvitaminaB8"/>
      </mc:Fallback>
    </mc:AlternateContent>
    <mc:AlternateContent xmlns:mc="http://schemas.openxmlformats.org/markup-compatibility/2006">
      <mc:Choice Requires="x14">
        <control shapeId="1065" r:id="rId34" name="bvitaminaB6">
          <controlPr defaultSize="0" autoLine="0" r:id="rId35">
            <anchor moveWithCells="1">
              <from>
                <xdr:col>13</xdr:col>
                <xdr:colOff>0</xdr:colOff>
                <xdr:row>1</xdr:row>
                <xdr:rowOff>180975</xdr:rowOff>
              </from>
              <to>
                <xdr:col>13</xdr:col>
                <xdr:colOff>333375</xdr:colOff>
                <xdr:row>3</xdr:row>
                <xdr:rowOff>76200</xdr:rowOff>
              </to>
            </anchor>
          </controlPr>
        </control>
      </mc:Choice>
      <mc:Fallback>
        <control shapeId="1065" r:id="rId34" name="bvitaminaB6"/>
      </mc:Fallback>
    </mc:AlternateContent>
    <mc:AlternateContent xmlns:mc="http://schemas.openxmlformats.org/markup-compatibility/2006">
      <mc:Choice Requires="x14">
        <control shapeId="1064" r:id="rId36" name="bvitaminaB5">
          <controlPr defaultSize="0" autoLine="0" autoPict="0" r:id="rId37">
            <anchor moveWithCells="1">
              <from>
                <xdr:col>12</xdr:col>
                <xdr:colOff>428625</xdr:colOff>
                <xdr:row>9</xdr:row>
                <xdr:rowOff>28575</xdr:rowOff>
              </from>
              <to>
                <xdr:col>12</xdr:col>
                <xdr:colOff>762000</xdr:colOff>
                <xdr:row>10</xdr:row>
                <xdr:rowOff>104775</xdr:rowOff>
              </to>
            </anchor>
          </controlPr>
        </control>
      </mc:Choice>
      <mc:Fallback>
        <control shapeId="1064" r:id="rId36" name="bvitaminaB5"/>
      </mc:Fallback>
    </mc:AlternateContent>
    <mc:AlternateContent xmlns:mc="http://schemas.openxmlformats.org/markup-compatibility/2006">
      <mc:Choice Requires="x14">
        <control shapeId="1063" r:id="rId38" name="bvitaminaB3">
          <controlPr defaultSize="0" autoLine="0" r:id="rId39">
            <anchor moveWithCells="1">
              <from>
                <xdr:col>12</xdr:col>
                <xdr:colOff>428625</xdr:colOff>
                <xdr:row>7</xdr:row>
                <xdr:rowOff>66675</xdr:rowOff>
              </from>
              <to>
                <xdr:col>12</xdr:col>
                <xdr:colOff>762000</xdr:colOff>
                <xdr:row>8</xdr:row>
                <xdr:rowOff>152400</xdr:rowOff>
              </to>
            </anchor>
          </controlPr>
        </control>
      </mc:Choice>
      <mc:Fallback>
        <control shapeId="1063" r:id="rId38" name="bvitaminaB3"/>
      </mc:Fallback>
    </mc:AlternateContent>
    <mc:AlternateContent xmlns:mc="http://schemas.openxmlformats.org/markup-compatibility/2006">
      <mc:Choice Requires="x14">
        <control shapeId="1062" r:id="rId40" name="bvitaminaB2">
          <controlPr defaultSize="0" autoLine="0" r:id="rId41">
            <anchor moveWithCells="1">
              <from>
                <xdr:col>12</xdr:col>
                <xdr:colOff>438150</xdr:colOff>
                <xdr:row>5</xdr:row>
                <xdr:rowOff>104775</xdr:rowOff>
              </from>
              <to>
                <xdr:col>12</xdr:col>
                <xdr:colOff>781050</xdr:colOff>
                <xdr:row>6</xdr:row>
                <xdr:rowOff>190500</xdr:rowOff>
              </to>
            </anchor>
          </controlPr>
        </control>
      </mc:Choice>
      <mc:Fallback>
        <control shapeId="1062" r:id="rId40" name="bvitaminaB2"/>
      </mc:Fallback>
    </mc:AlternateContent>
    <mc:AlternateContent xmlns:mc="http://schemas.openxmlformats.org/markup-compatibility/2006">
      <mc:Choice Requires="x14">
        <control shapeId="1061" r:id="rId42" name="bvitaminab1">
          <controlPr defaultSize="0" autoLine="0" r:id="rId43">
            <anchor moveWithCells="1">
              <from>
                <xdr:col>12</xdr:col>
                <xdr:colOff>447675</xdr:colOff>
                <xdr:row>3</xdr:row>
                <xdr:rowOff>152400</xdr:rowOff>
              </from>
              <to>
                <xdr:col>12</xdr:col>
                <xdr:colOff>781050</xdr:colOff>
                <xdr:row>5</xdr:row>
                <xdr:rowOff>38100</xdr:rowOff>
              </to>
            </anchor>
          </controlPr>
        </control>
      </mc:Choice>
      <mc:Fallback>
        <control shapeId="1061" r:id="rId42" name="bvitaminab1"/>
      </mc:Fallback>
    </mc:AlternateContent>
    <mc:AlternateContent xmlns:mc="http://schemas.openxmlformats.org/markup-compatibility/2006">
      <mc:Choice Requires="x14">
        <control shapeId="1060" r:id="rId44" name="bvitaminaA">
          <controlPr defaultSize="0" autoLine="0" autoPict="0" r:id="rId45">
            <anchor moveWithCells="1">
              <from>
                <xdr:col>12</xdr:col>
                <xdr:colOff>428625</xdr:colOff>
                <xdr:row>1</xdr:row>
                <xdr:rowOff>190500</xdr:rowOff>
              </from>
              <to>
                <xdr:col>12</xdr:col>
                <xdr:colOff>762000</xdr:colOff>
                <xdr:row>3</xdr:row>
                <xdr:rowOff>85725</xdr:rowOff>
              </to>
            </anchor>
          </controlPr>
        </control>
      </mc:Choice>
      <mc:Fallback>
        <control shapeId="1060" r:id="rId44" name="bvitaminaA"/>
      </mc:Fallback>
    </mc:AlternateContent>
    <mc:AlternateContent xmlns:mc="http://schemas.openxmlformats.org/markup-compatibility/2006">
      <mc:Choice Requires="x14">
        <control shapeId="1038" r:id="rId46" name="ComboBox1">
          <controlPr defaultSize="0" autoLine="0" linkedCell="H4" r:id="rId47">
            <anchor moveWithCells="1">
              <from>
                <xdr:col>8</xdr:col>
                <xdr:colOff>628650</xdr:colOff>
                <xdr:row>1</xdr:row>
                <xdr:rowOff>0</xdr:rowOff>
              </from>
              <to>
                <xdr:col>11</xdr:col>
                <xdr:colOff>381000</xdr:colOff>
                <xdr:row>2</xdr:row>
                <xdr:rowOff>85725</xdr:rowOff>
              </to>
            </anchor>
          </controlPr>
        </control>
      </mc:Choice>
      <mc:Fallback>
        <control shapeId="1038" r:id="rId46" name="ComboBox1"/>
      </mc:Fallback>
    </mc:AlternateContent>
    <mc:AlternateContent xmlns:mc="http://schemas.openxmlformats.org/markup-compatibility/2006">
      <mc:Choice Requires="x14">
        <control shapeId="1048" r:id="rId48" name="Suplemento">
          <controlPr defaultSize="0" autoLine="0" autoPict="0" r:id="rId49">
            <anchor moveWithCells="1">
              <from>
                <xdr:col>2</xdr:col>
                <xdr:colOff>628650</xdr:colOff>
                <xdr:row>9</xdr:row>
                <xdr:rowOff>85725</xdr:rowOff>
              </from>
              <to>
                <xdr:col>5</xdr:col>
                <xdr:colOff>466725</xdr:colOff>
                <xdr:row>10</xdr:row>
                <xdr:rowOff>104775</xdr:rowOff>
              </to>
            </anchor>
          </controlPr>
        </control>
      </mc:Choice>
      <mc:Fallback>
        <control shapeId="1048" r:id="rId48" name="Suplemento"/>
      </mc:Fallback>
    </mc:AlternateContent>
    <mc:AlternateContent xmlns:mc="http://schemas.openxmlformats.org/markup-compatibility/2006">
      <mc:Choice Requires="x14">
        <control shapeId="1075" r:id="rId50" name="bcalcio">
          <controlPr defaultSize="0" autoLine="0" r:id="rId51">
            <anchor moveWithCells="1">
              <from>
                <xdr:col>14</xdr:col>
                <xdr:colOff>180975</xdr:colOff>
                <xdr:row>2</xdr:row>
                <xdr:rowOff>0</xdr:rowOff>
              </from>
              <to>
                <xdr:col>14</xdr:col>
                <xdr:colOff>514350</xdr:colOff>
                <xdr:row>3</xdr:row>
                <xdr:rowOff>85725</xdr:rowOff>
              </to>
            </anchor>
          </controlPr>
        </control>
      </mc:Choice>
      <mc:Fallback>
        <control shapeId="1075" r:id="rId50" name="bcalcio"/>
      </mc:Fallback>
    </mc:AlternateContent>
    <mc:AlternateContent xmlns:mc="http://schemas.openxmlformats.org/markup-compatibility/2006">
      <mc:Choice Requires="x14">
        <control shapeId="1076" r:id="rId52" name="bzinc">
          <controlPr defaultSize="0" autoLine="0" r:id="rId53">
            <anchor moveWithCells="1">
              <from>
                <xdr:col>14</xdr:col>
                <xdr:colOff>180975</xdr:colOff>
                <xdr:row>3</xdr:row>
                <xdr:rowOff>142875</xdr:rowOff>
              </from>
              <to>
                <xdr:col>14</xdr:col>
                <xdr:colOff>514350</xdr:colOff>
                <xdr:row>5</xdr:row>
                <xdr:rowOff>28575</xdr:rowOff>
              </to>
            </anchor>
          </controlPr>
        </control>
      </mc:Choice>
      <mc:Fallback>
        <control shapeId="1076" r:id="rId52" name="bzinc"/>
      </mc:Fallback>
    </mc:AlternateContent>
    <mc:AlternateContent xmlns:mc="http://schemas.openxmlformats.org/markup-compatibility/2006">
      <mc:Choice Requires="x14">
        <control shapeId="1077" r:id="rId54" name="bmanganeso">
          <controlPr defaultSize="0" autoLine="0" r:id="rId55">
            <anchor moveWithCells="1">
              <from>
                <xdr:col>14</xdr:col>
                <xdr:colOff>171450</xdr:colOff>
                <xdr:row>5</xdr:row>
                <xdr:rowOff>95250</xdr:rowOff>
              </from>
              <to>
                <xdr:col>14</xdr:col>
                <xdr:colOff>514350</xdr:colOff>
                <xdr:row>6</xdr:row>
                <xdr:rowOff>180975</xdr:rowOff>
              </to>
            </anchor>
          </controlPr>
        </control>
      </mc:Choice>
      <mc:Fallback>
        <control shapeId="1077" r:id="rId54" name="bmanganeso"/>
      </mc:Fallback>
    </mc:AlternateContent>
    <mc:AlternateContent xmlns:mc="http://schemas.openxmlformats.org/markup-compatibility/2006">
      <mc:Choice Requires="x14">
        <control shapeId="1078" r:id="rId56" name="bpotasio">
          <controlPr defaultSize="0" autoLine="0" r:id="rId57">
            <anchor moveWithCells="1">
              <from>
                <xdr:col>14</xdr:col>
                <xdr:colOff>180975</xdr:colOff>
                <xdr:row>7</xdr:row>
                <xdr:rowOff>66675</xdr:rowOff>
              </from>
              <to>
                <xdr:col>14</xdr:col>
                <xdr:colOff>514350</xdr:colOff>
                <xdr:row>8</xdr:row>
                <xdr:rowOff>152400</xdr:rowOff>
              </to>
            </anchor>
          </controlPr>
        </control>
      </mc:Choice>
      <mc:Fallback>
        <control shapeId="1078" r:id="rId56" name="bpotasio"/>
      </mc:Fallback>
    </mc:AlternateContent>
    <mc:AlternateContent xmlns:mc="http://schemas.openxmlformats.org/markup-compatibility/2006">
      <mc:Choice Requires="x14">
        <control shapeId="1079" r:id="rId58" name="biodo">
          <controlPr defaultSize="0" autoLine="0" r:id="rId59">
            <anchor moveWithCells="1">
              <from>
                <xdr:col>14</xdr:col>
                <xdr:colOff>180975</xdr:colOff>
                <xdr:row>9</xdr:row>
                <xdr:rowOff>28575</xdr:rowOff>
              </from>
              <to>
                <xdr:col>14</xdr:col>
                <xdr:colOff>514350</xdr:colOff>
                <xdr:row>10</xdr:row>
                <xdr:rowOff>104775</xdr:rowOff>
              </to>
            </anchor>
          </controlPr>
        </control>
      </mc:Choice>
      <mc:Fallback>
        <control shapeId="1079" r:id="rId58" name="biodo"/>
      </mc:Fallback>
    </mc:AlternateContent>
    <mc:AlternateContent xmlns:mc="http://schemas.openxmlformats.org/markup-compatibility/2006">
      <mc:Choice Requires="x14">
        <control shapeId="1080" r:id="rId60" name="bhierro">
          <controlPr defaultSize="0" autoLine="0" r:id="rId61">
            <anchor moveWithCells="1">
              <from>
                <xdr:col>14</xdr:col>
                <xdr:colOff>590550</xdr:colOff>
                <xdr:row>1</xdr:row>
                <xdr:rowOff>180975</xdr:rowOff>
              </from>
              <to>
                <xdr:col>15</xdr:col>
                <xdr:colOff>161925</xdr:colOff>
                <xdr:row>3</xdr:row>
                <xdr:rowOff>76200</xdr:rowOff>
              </to>
            </anchor>
          </controlPr>
        </control>
      </mc:Choice>
      <mc:Fallback>
        <control shapeId="1080" r:id="rId60" name="bhierro"/>
      </mc:Fallback>
    </mc:AlternateContent>
    <mc:AlternateContent xmlns:mc="http://schemas.openxmlformats.org/markup-compatibility/2006">
      <mc:Choice Requires="x14">
        <control shapeId="1081" r:id="rId62" name="bselenio">
          <controlPr defaultSize="0" autoLine="0" r:id="rId63">
            <anchor moveWithCells="1">
              <from>
                <xdr:col>14</xdr:col>
                <xdr:colOff>590550</xdr:colOff>
                <xdr:row>3</xdr:row>
                <xdr:rowOff>152400</xdr:rowOff>
              </from>
              <to>
                <xdr:col>15</xdr:col>
                <xdr:colOff>171450</xdr:colOff>
                <xdr:row>5</xdr:row>
                <xdr:rowOff>38100</xdr:rowOff>
              </to>
            </anchor>
          </controlPr>
        </control>
      </mc:Choice>
      <mc:Fallback>
        <control shapeId="1081" r:id="rId62" name="bselenio"/>
      </mc:Fallback>
    </mc:AlternateContent>
    <mc:AlternateContent xmlns:mc="http://schemas.openxmlformats.org/markup-compatibility/2006">
      <mc:Choice Requires="x14">
        <control shapeId="1082" r:id="rId64" name="bcobre">
          <controlPr defaultSize="0" autoLine="0" r:id="rId65">
            <anchor moveWithCells="1">
              <from>
                <xdr:col>14</xdr:col>
                <xdr:colOff>590550</xdr:colOff>
                <xdr:row>5</xdr:row>
                <xdr:rowOff>104775</xdr:rowOff>
              </from>
              <to>
                <xdr:col>15</xdr:col>
                <xdr:colOff>171450</xdr:colOff>
                <xdr:row>6</xdr:row>
                <xdr:rowOff>190500</xdr:rowOff>
              </to>
            </anchor>
          </controlPr>
        </control>
      </mc:Choice>
      <mc:Fallback>
        <control shapeId="1082" r:id="rId64" name="bcobre"/>
      </mc:Fallback>
    </mc:AlternateContent>
    <mc:AlternateContent xmlns:mc="http://schemas.openxmlformats.org/markup-compatibility/2006">
      <mc:Choice Requires="x14">
        <control shapeId="1083" r:id="rId66" name="bcromo">
          <controlPr defaultSize="0" autoLine="0" r:id="rId67">
            <anchor moveWithCells="1">
              <from>
                <xdr:col>14</xdr:col>
                <xdr:colOff>590550</xdr:colOff>
                <xdr:row>7</xdr:row>
                <xdr:rowOff>66675</xdr:rowOff>
              </from>
              <to>
                <xdr:col>15</xdr:col>
                <xdr:colOff>171450</xdr:colOff>
                <xdr:row>8</xdr:row>
                <xdr:rowOff>152400</xdr:rowOff>
              </to>
            </anchor>
          </controlPr>
        </control>
      </mc:Choice>
      <mc:Fallback>
        <control shapeId="1083" r:id="rId66" name="bcromo"/>
      </mc:Fallback>
    </mc:AlternateContent>
    <mc:AlternateContent xmlns:mc="http://schemas.openxmlformats.org/markup-compatibility/2006">
      <mc:Choice Requires="x14">
        <control shapeId="1084" r:id="rId68" name="bmolibdeno">
          <controlPr defaultSize="0" autoLine="0" r:id="rId69">
            <anchor moveWithCells="1">
              <from>
                <xdr:col>14</xdr:col>
                <xdr:colOff>581025</xdr:colOff>
                <xdr:row>9</xdr:row>
                <xdr:rowOff>19050</xdr:rowOff>
              </from>
              <to>
                <xdr:col>15</xdr:col>
                <xdr:colOff>161925</xdr:colOff>
                <xdr:row>10</xdr:row>
                <xdr:rowOff>95250</xdr:rowOff>
              </to>
            </anchor>
          </controlPr>
        </control>
      </mc:Choice>
      <mc:Fallback>
        <control shapeId="1084" r:id="rId68" name="bmolibdeno"/>
      </mc:Fallback>
    </mc:AlternateContent>
    <mc:AlternateContent xmlns:mc="http://schemas.openxmlformats.org/markup-compatibility/2006">
      <mc:Choice Requires="x14">
        <control shapeId="1085" r:id="rId70" name="bmagnesio">
          <controlPr defaultSize="0" autoLine="0" r:id="rId71">
            <anchor moveWithCells="1">
              <from>
                <xdr:col>15</xdr:col>
                <xdr:colOff>228600</xdr:colOff>
                <xdr:row>1</xdr:row>
                <xdr:rowOff>180975</xdr:rowOff>
              </from>
              <to>
                <xdr:col>15</xdr:col>
                <xdr:colOff>571500</xdr:colOff>
                <xdr:row>3</xdr:row>
                <xdr:rowOff>76200</xdr:rowOff>
              </to>
            </anchor>
          </controlPr>
        </control>
      </mc:Choice>
      <mc:Fallback>
        <control shapeId="1085" r:id="rId70" name="bmagnesio"/>
      </mc:Fallback>
    </mc:AlternateContent>
    <mc:AlternateContent xmlns:mc="http://schemas.openxmlformats.org/markup-compatibility/2006">
      <mc:Choice Requires="x14">
        <control shapeId="1086" r:id="rId72" name="bcobalto">
          <controlPr defaultSize="0" autoLine="0" r:id="rId73">
            <anchor moveWithCells="1">
              <from>
                <xdr:col>15</xdr:col>
                <xdr:colOff>228600</xdr:colOff>
                <xdr:row>3</xdr:row>
                <xdr:rowOff>142875</xdr:rowOff>
              </from>
              <to>
                <xdr:col>15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86" r:id="rId72" name="bcobalto"/>
      </mc:Fallback>
    </mc:AlternateContent>
    <mc:AlternateContent xmlns:mc="http://schemas.openxmlformats.org/markup-compatibility/2006">
      <mc:Choice Requires="x14">
        <control shapeId="1087" r:id="rId74" name="bsodio">
          <controlPr defaultSize="0" autoLine="0" r:id="rId75">
            <anchor moveWithCells="1">
              <from>
                <xdr:col>15</xdr:col>
                <xdr:colOff>228600</xdr:colOff>
                <xdr:row>5</xdr:row>
                <xdr:rowOff>104775</xdr:rowOff>
              </from>
              <to>
                <xdr:col>15</xdr:col>
                <xdr:colOff>571500</xdr:colOff>
                <xdr:row>6</xdr:row>
                <xdr:rowOff>190500</xdr:rowOff>
              </to>
            </anchor>
          </controlPr>
        </control>
      </mc:Choice>
      <mc:Fallback>
        <control shapeId="1087" r:id="rId74" name="bsodio"/>
      </mc:Fallback>
    </mc:AlternateContent>
    <mc:AlternateContent xmlns:mc="http://schemas.openxmlformats.org/markup-compatibility/2006">
      <mc:Choice Requires="x14">
        <control shapeId="1089" r:id="rId76" name="bfluor">
          <controlPr defaultSize="0" autoLine="0" r:id="rId77">
            <anchor moveWithCells="1">
              <from>
                <xdr:col>15</xdr:col>
                <xdr:colOff>228600</xdr:colOff>
                <xdr:row>7</xdr:row>
                <xdr:rowOff>66675</xdr:rowOff>
              </from>
              <to>
                <xdr:col>15</xdr:col>
                <xdr:colOff>571500</xdr:colOff>
                <xdr:row>8</xdr:row>
                <xdr:rowOff>152400</xdr:rowOff>
              </to>
            </anchor>
          </controlPr>
        </control>
      </mc:Choice>
      <mc:Fallback>
        <control shapeId="1089" r:id="rId76" name="bfluor"/>
      </mc:Fallback>
    </mc:AlternateContent>
    <mc:AlternateContent xmlns:mc="http://schemas.openxmlformats.org/markup-compatibility/2006">
      <mc:Choice Requires="x14">
        <control shapeId="1090" r:id="rId78" name="CommandButton1">
          <controlPr defaultSize="0" autoLine="0" autoPict="0" r:id="rId79">
            <anchor moveWithCells="1">
              <from>
                <xdr:col>7</xdr:col>
                <xdr:colOff>114300</xdr:colOff>
                <xdr:row>3</xdr:row>
                <xdr:rowOff>0</xdr:rowOff>
              </from>
              <to>
                <xdr:col>8</xdr:col>
                <xdr:colOff>219075</xdr:colOff>
                <xdr:row>4</xdr:row>
                <xdr:rowOff>95250</xdr:rowOff>
              </to>
            </anchor>
          </controlPr>
        </control>
      </mc:Choice>
      <mc:Fallback>
        <control shapeId="1090" r:id="rId78" name="CommandButton1"/>
      </mc:Fallback>
    </mc:AlternateContent>
    <mc:AlternateContent xmlns:mc="http://schemas.openxmlformats.org/markup-compatibility/2006">
      <mc:Choice Requires="x14">
        <control shapeId="1101" r:id="rId80" name="ComboBox2">
          <controlPr defaultSize="0" autoLine="0" r:id="rId81">
            <anchor moveWithCells="1">
              <from>
                <xdr:col>8</xdr:col>
                <xdr:colOff>647700</xdr:colOff>
                <xdr:row>3</xdr:row>
                <xdr:rowOff>19050</xdr:rowOff>
              </from>
              <to>
                <xdr:col>11</xdr:col>
                <xdr:colOff>381000</xdr:colOff>
                <xdr:row>4</xdr:row>
                <xdr:rowOff>66675</xdr:rowOff>
              </to>
            </anchor>
          </controlPr>
        </control>
      </mc:Choice>
      <mc:Fallback>
        <control shapeId="1101" r:id="rId80" name="ComboBox2"/>
      </mc:Fallback>
    </mc:AlternateContent>
    <mc:AlternateContent xmlns:mc="http://schemas.openxmlformats.org/markup-compatibility/2006">
      <mc:Choice Requires="x14">
        <control shapeId="1102" r:id="rId82" name="ComboBox3">
          <controlPr defaultSize="0" autoLine="0" r:id="rId83">
            <anchor moveWithCells="1">
              <from>
                <xdr:col>8</xdr:col>
                <xdr:colOff>390525</xdr:colOff>
                <xdr:row>5</xdr:row>
                <xdr:rowOff>19050</xdr:rowOff>
              </from>
              <to>
                <xdr:col>12</xdr:col>
                <xdr:colOff>57150</xdr:colOff>
                <xdr:row>6</xdr:row>
                <xdr:rowOff>66675</xdr:rowOff>
              </to>
            </anchor>
          </controlPr>
        </control>
      </mc:Choice>
      <mc:Fallback>
        <control shapeId="1102" r:id="rId82" name="ComboBox3"/>
      </mc:Fallback>
    </mc:AlternateContent>
    <mc:AlternateContent xmlns:mc="http://schemas.openxmlformats.org/markup-compatibility/2006">
      <mc:Choice Requires="x14">
        <control shapeId="1155" r:id="rId84" name="mostrarocultar">
          <controlPr defaultSize="0" autoLine="0" r:id="rId85">
            <anchor moveWithCells="1">
              <from>
                <xdr:col>1</xdr:col>
                <xdr:colOff>152400</xdr:colOff>
                <xdr:row>6</xdr:row>
                <xdr:rowOff>142875</xdr:rowOff>
              </from>
              <to>
                <xdr:col>3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1155" r:id="rId84" name="mostrarocultar"/>
      </mc:Fallback>
    </mc:AlternateContent>
    <mc:AlternateContent xmlns:mc="http://schemas.openxmlformats.org/markup-compatibility/2006">
      <mc:Choice Requires="x14">
        <control shapeId="1159" r:id="rId86" name="CommandButton3">
          <controlPr defaultSize="0" autoLine="0" r:id="rId87">
            <anchor moveWithCells="1">
              <from>
                <xdr:col>3</xdr:col>
                <xdr:colOff>152400</xdr:colOff>
                <xdr:row>2</xdr:row>
                <xdr:rowOff>57150</xdr:rowOff>
              </from>
              <to>
                <xdr:col>6</xdr:col>
                <xdr:colOff>657225</xdr:colOff>
                <xdr:row>3</xdr:row>
                <xdr:rowOff>152400</xdr:rowOff>
              </to>
            </anchor>
          </controlPr>
        </control>
      </mc:Choice>
      <mc:Fallback>
        <control shapeId="1159" r:id="rId86" name="CommandButton3"/>
      </mc:Fallback>
    </mc:AlternateContent>
    <mc:AlternateContent xmlns:mc="http://schemas.openxmlformats.org/markup-compatibility/2006">
      <mc:Choice Requires="x14">
        <control shapeId="1162" r:id="rId88" name="CommandButton5">
          <controlPr defaultSize="0" autoLine="0" r:id="rId89">
            <anchor moveWithCells="1">
              <from>
                <xdr:col>7</xdr:col>
                <xdr:colOff>104775</xdr:colOff>
                <xdr:row>4</xdr:row>
                <xdr:rowOff>161925</xdr:rowOff>
              </from>
              <to>
                <xdr:col>8</xdr:col>
                <xdr:colOff>209550</xdr:colOff>
                <xdr:row>6</xdr:row>
                <xdr:rowOff>47625</xdr:rowOff>
              </to>
            </anchor>
          </controlPr>
        </control>
      </mc:Choice>
      <mc:Fallback>
        <control shapeId="1162" r:id="rId88" name="CommandButton5"/>
      </mc:Fallback>
    </mc:AlternateContent>
    <mc:AlternateContent xmlns:mc="http://schemas.openxmlformats.org/markup-compatibility/2006">
      <mc:Choice Requires="x14">
        <control shapeId="1073" r:id="rId90" name="Cuadro de grupo 49">
          <controlPr defaultSize="0" autoFill="0" autoPict="0">
            <anchor moveWithCells="1">
              <from>
                <xdr:col>12</xdr:col>
                <xdr:colOff>352425</xdr:colOff>
                <xdr:row>1</xdr:row>
                <xdr:rowOff>28575</xdr:rowOff>
              </from>
              <to>
                <xdr:col>14</xdr:col>
                <xdr:colOff>9525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91" name="Cuadro de grupo 64">
          <controlPr defaultSize="0" autoFill="0" autoPict="0">
            <anchor moveWithCells="1">
              <from>
                <xdr:col>14</xdr:col>
                <xdr:colOff>104775</xdr:colOff>
                <xdr:row>1</xdr:row>
                <xdr:rowOff>28575</xdr:rowOff>
              </from>
              <to>
                <xdr:col>15</xdr:col>
                <xdr:colOff>666750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92" name="Cuadro de grupo 129">
          <controlPr defaultSize="0" autoFill="0" autoPict="0">
            <anchor moveWithCells="1">
              <from>
                <xdr:col>7</xdr:col>
                <xdr:colOff>66675</xdr:colOff>
                <xdr:row>0</xdr:row>
                <xdr:rowOff>76200</xdr:rowOff>
              </from>
              <to>
                <xdr:col>8</xdr:col>
                <xdr:colOff>266700</xdr:colOff>
                <xdr:row>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93" name="Cuadro de grupo 139">
          <controlPr defaultSize="0" autoFill="0" autoPict="0">
            <anchor moveWithCells="1">
              <from>
                <xdr:col>6</xdr:col>
                <xdr:colOff>142875</xdr:colOff>
                <xdr:row>6</xdr:row>
                <xdr:rowOff>171450</xdr:rowOff>
              </from>
              <to>
                <xdr:col>7</xdr:col>
                <xdr:colOff>1866900</xdr:colOff>
                <xdr:row>10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121"/>
  <sheetViews>
    <sheetView workbookViewId="0">
      <selection activeCell="A23" sqref="A23"/>
    </sheetView>
  </sheetViews>
  <sheetFormatPr baseColWidth="10" defaultColWidth="11.42578125" defaultRowHeight="15" x14ac:dyDescent="0.25"/>
  <cols>
    <col min="1" max="1" width="30.42578125" customWidth="1"/>
    <col min="2" max="2" width="17.42578125" customWidth="1"/>
    <col min="3" max="3" width="6.140625" customWidth="1"/>
    <col min="4" max="4" width="19.28515625" customWidth="1"/>
    <col min="5" max="5" width="19" customWidth="1"/>
    <col min="6" max="6" width="18" style="99" customWidth="1"/>
    <col min="7" max="7" width="20.42578125" customWidth="1"/>
  </cols>
  <sheetData>
    <row r="1" spans="1:26" x14ac:dyDescent="0.25">
      <c r="A1" s="151" t="s">
        <v>65</v>
      </c>
      <c r="B1" s="152"/>
      <c r="C1" s="152"/>
      <c r="D1" s="152"/>
      <c r="E1" s="153"/>
      <c r="Z1" s="112"/>
    </row>
    <row r="2" spans="1:26" x14ac:dyDescent="0.25">
      <c r="A2" s="154" t="s">
        <v>66</v>
      </c>
      <c r="B2" s="155"/>
      <c r="C2" s="155"/>
      <c r="D2" s="155"/>
      <c r="E2" s="156"/>
      <c r="Z2" s="112"/>
    </row>
    <row r="3" spans="1:26" x14ac:dyDescent="0.25">
      <c r="A3" s="154" t="s">
        <v>68</v>
      </c>
      <c r="B3" s="155"/>
      <c r="C3" s="155"/>
      <c r="D3" s="155"/>
      <c r="E3" s="156"/>
      <c r="Z3" s="113"/>
    </row>
    <row r="4" spans="1:26" ht="15.75" thickBot="1" x14ac:dyDescent="0.3">
      <c r="A4" s="157" t="s">
        <v>67</v>
      </c>
      <c r="B4" s="158"/>
      <c r="C4" s="158"/>
      <c r="D4" s="158"/>
      <c r="E4" s="159"/>
      <c r="Z4" s="113"/>
    </row>
    <row r="5" spans="1:26" ht="15.75" thickBot="1" x14ac:dyDescent="0.3">
      <c r="A5" s="98" t="s">
        <v>64</v>
      </c>
      <c r="B5" s="100">
        <v>1</v>
      </c>
      <c r="C5" s="28"/>
      <c r="Z5" s="113"/>
    </row>
    <row r="6" spans="1:26" x14ac:dyDescent="0.25">
      <c r="A6" s="160" t="s">
        <v>3</v>
      </c>
      <c r="B6" s="146" t="s">
        <v>58</v>
      </c>
      <c r="C6" s="166"/>
      <c r="D6" s="162" t="s">
        <v>29</v>
      </c>
      <c r="E6" s="162" t="s">
        <v>30</v>
      </c>
      <c r="F6" s="163" t="s">
        <v>31</v>
      </c>
      <c r="G6" s="145" t="s">
        <v>32</v>
      </c>
      <c r="H6" s="148" t="s">
        <v>59</v>
      </c>
    </row>
    <row r="7" spans="1:26" x14ac:dyDescent="0.25">
      <c r="A7" s="160"/>
      <c r="B7" s="146"/>
      <c r="C7" s="167"/>
      <c r="D7" s="160"/>
      <c r="E7" s="160"/>
      <c r="F7" s="164"/>
      <c r="G7" s="146"/>
      <c r="H7" s="149"/>
    </row>
    <row r="8" spans="1:26" x14ac:dyDescent="0.25">
      <c r="A8" s="160"/>
      <c r="B8" s="146"/>
      <c r="C8" s="167"/>
      <c r="D8" s="160"/>
      <c r="E8" s="160"/>
      <c r="F8" s="164"/>
      <c r="G8" s="146"/>
      <c r="H8" s="149"/>
    </row>
    <row r="9" spans="1:26" x14ac:dyDescent="0.25">
      <c r="A9" s="161"/>
      <c r="B9" s="147"/>
      <c r="C9" s="168"/>
      <c r="D9" s="161"/>
      <c r="E9" s="161"/>
      <c r="F9" s="165"/>
      <c r="G9" s="147"/>
      <c r="H9" s="150"/>
    </row>
    <row r="10" spans="1:26" x14ac:dyDescent="0.25">
      <c r="B10" s="74"/>
      <c r="C10" s="28"/>
      <c r="D10" s="76"/>
      <c r="G10" s="76"/>
    </row>
    <row r="11" spans="1:26" x14ac:dyDescent="0.25">
      <c r="B11" s="74"/>
      <c r="C11" s="28"/>
      <c r="D11" s="76"/>
      <c r="G11" s="76"/>
    </row>
    <row r="12" spans="1:26" x14ac:dyDescent="0.25">
      <c r="B12" s="74"/>
      <c r="C12" s="28"/>
      <c r="D12" s="76"/>
      <c r="G12" s="76"/>
    </row>
    <row r="13" spans="1:26" x14ac:dyDescent="0.25">
      <c r="B13" s="74"/>
      <c r="C13" s="28"/>
      <c r="D13" s="76"/>
      <c r="F13" s="77"/>
      <c r="G13" s="76"/>
    </row>
    <row r="14" spans="1:26" x14ac:dyDescent="0.25">
      <c r="B14" s="74"/>
      <c r="C14" s="28"/>
      <c r="D14" s="76"/>
      <c r="F14" s="77"/>
      <c r="G14" s="76"/>
    </row>
    <row r="15" spans="1:26" x14ac:dyDescent="0.25">
      <c r="B15" s="74"/>
      <c r="C15" s="28"/>
      <c r="D15" s="76"/>
      <c r="F15" s="78"/>
      <c r="G15" s="76"/>
    </row>
    <row r="16" spans="1:26" x14ac:dyDescent="0.25">
      <c r="B16" s="74"/>
      <c r="C16" s="28"/>
      <c r="D16" s="76"/>
      <c r="F16" s="77"/>
      <c r="G16" s="76"/>
      <c r="H16" s="76"/>
    </row>
    <row r="17" spans="2:7" x14ac:dyDescent="0.25">
      <c r="B17" s="74"/>
      <c r="C17" s="28"/>
      <c r="D17" s="76"/>
      <c r="F17" s="78"/>
      <c r="G17" s="76"/>
    </row>
    <row r="18" spans="2:7" x14ac:dyDescent="0.25">
      <c r="B18" s="74"/>
      <c r="C18" s="28"/>
      <c r="D18" s="76"/>
      <c r="F18" s="77"/>
      <c r="G18" s="76"/>
    </row>
    <row r="19" spans="2:7" x14ac:dyDescent="0.25">
      <c r="B19" s="74"/>
      <c r="C19" s="28"/>
      <c r="D19" s="76"/>
      <c r="F19" s="77"/>
      <c r="G19" s="76"/>
    </row>
    <row r="20" spans="2:7" x14ac:dyDescent="0.25">
      <c r="B20" s="74"/>
      <c r="C20" s="28"/>
      <c r="D20" s="76"/>
      <c r="F20" s="78"/>
      <c r="G20" s="76"/>
    </row>
    <row r="21" spans="2:7" x14ac:dyDescent="0.25">
      <c r="B21" s="74"/>
      <c r="C21" s="28"/>
      <c r="D21" s="76"/>
      <c r="F21" s="78"/>
      <c r="G21" s="76"/>
    </row>
    <row r="22" spans="2:7" x14ac:dyDescent="0.25">
      <c r="B22" s="74"/>
      <c r="C22" s="28"/>
      <c r="D22" s="76"/>
      <c r="F22" s="78"/>
      <c r="G22" s="76"/>
    </row>
    <row r="23" spans="2:7" x14ac:dyDescent="0.25">
      <c r="B23" s="74"/>
      <c r="C23" s="28"/>
      <c r="D23" s="76"/>
      <c r="F23" s="77"/>
      <c r="G23" s="76"/>
    </row>
    <row r="24" spans="2:7" x14ac:dyDescent="0.25">
      <c r="B24" s="74"/>
      <c r="C24" s="28"/>
      <c r="D24" s="76"/>
      <c r="F24" s="77"/>
      <c r="G24" s="76"/>
    </row>
    <row r="25" spans="2:7" x14ac:dyDescent="0.25">
      <c r="B25" s="74"/>
      <c r="C25" s="28"/>
      <c r="D25" s="76"/>
      <c r="F25" s="78"/>
      <c r="G25" s="76"/>
    </row>
    <row r="26" spans="2:7" x14ac:dyDescent="0.25">
      <c r="B26" s="74"/>
      <c r="C26" s="28"/>
      <c r="D26" s="76"/>
      <c r="F26" s="78"/>
      <c r="G26" s="76"/>
    </row>
    <row r="27" spans="2:7" x14ac:dyDescent="0.25">
      <c r="B27" s="74"/>
      <c r="C27" s="28"/>
      <c r="D27" s="76"/>
      <c r="G27" s="76"/>
    </row>
    <row r="28" spans="2:7" x14ac:dyDescent="0.25">
      <c r="B28" s="74"/>
      <c r="C28" s="28"/>
      <c r="D28" s="76"/>
      <c r="F28" s="78"/>
      <c r="G28" s="76"/>
    </row>
    <row r="29" spans="2:7" x14ac:dyDescent="0.25">
      <c r="B29" s="74"/>
      <c r="C29" s="28"/>
      <c r="D29" s="76"/>
      <c r="G29" s="76"/>
    </row>
    <row r="30" spans="2:7" x14ac:dyDescent="0.25">
      <c r="B30" s="74"/>
      <c r="C30" s="28"/>
      <c r="D30" s="76"/>
      <c r="F30" s="77"/>
      <c r="G30" s="76"/>
    </row>
    <row r="31" spans="2:7" x14ac:dyDescent="0.25">
      <c r="B31" s="74"/>
      <c r="C31" s="28"/>
      <c r="D31" s="76"/>
      <c r="G31" s="76"/>
    </row>
    <row r="32" spans="2:7" x14ac:dyDescent="0.25">
      <c r="B32" s="74"/>
      <c r="C32" s="28"/>
      <c r="D32" s="76"/>
      <c r="F32" s="78"/>
      <c r="G32" s="76"/>
    </row>
    <row r="33" spans="2:7" x14ac:dyDescent="0.25">
      <c r="B33" s="74"/>
      <c r="C33" s="28"/>
      <c r="D33" s="76"/>
      <c r="F33" s="77"/>
      <c r="G33" s="76"/>
    </row>
    <row r="34" spans="2:7" x14ac:dyDescent="0.25">
      <c r="B34" s="74"/>
      <c r="C34" s="28"/>
      <c r="D34" s="76"/>
      <c r="F34" s="77"/>
      <c r="G34" s="76"/>
    </row>
    <row r="35" spans="2:7" x14ac:dyDescent="0.25">
      <c r="B35" s="74"/>
      <c r="C35" s="28"/>
      <c r="D35" s="76"/>
      <c r="F35" s="78"/>
      <c r="G35" s="76"/>
    </row>
    <row r="36" spans="2:7" x14ac:dyDescent="0.25">
      <c r="B36" s="74"/>
      <c r="C36" s="28"/>
      <c r="D36" s="76"/>
      <c r="F36" s="78"/>
      <c r="G36" s="76"/>
    </row>
    <row r="37" spans="2:7" x14ac:dyDescent="0.25">
      <c r="B37" s="74"/>
      <c r="C37" s="28"/>
      <c r="D37" s="76"/>
      <c r="G37" s="76"/>
    </row>
    <row r="38" spans="2:7" x14ac:dyDescent="0.25">
      <c r="B38" s="74"/>
      <c r="C38" s="28"/>
      <c r="D38" s="76"/>
      <c r="G38" s="76"/>
    </row>
    <row r="39" spans="2:7" x14ac:dyDescent="0.25">
      <c r="B39" s="74"/>
      <c r="C39" s="28"/>
      <c r="D39" s="76"/>
      <c r="F39" s="77"/>
      <c r="G39" s="76"/>
    </row>
    <row r="40" spans="2:7" x14ac:dyDescent="0.25">
      <c r="B40" s="74"/>
      <c r="C40" s="28"/>
      <c r="D40" s="76"/>
      <c r="G40" s="76"/>
    </row>
    <row r="41" spans="2:7" x14ac:dyDescent="0.25">
      <c r="B41" s="74"/>
      <c r="C41" s="28"/>
      <c r="D41" s="76"/>
      <c r="F41" s="78"/>
      <c r="G41" s="76"/>
    </row>
    <row r="42" spans="2:7" x14ac:dyDescent="0.25">
      <c r="B42" s="74"/>
      <c r="C42" s="28"/>
      <c r="D42" s="76"/>
      <c r="G42" s="76"/>
    </row>
    <row r="43" spans="2:7" x14ac:dyDescent="0.25">
      <c r="B43" s="74"/>
      <c r="C43" s="28"/>
      <c r="D43" s="76"/>
      <c r="G43" s="76"/>
    </row>
    <row r="44" spans="2:7" x14ac:dyDescent="0.25">
      <c r="B44" s="74"/>
      <c r="C44" s="28"/>
      <c r="D44" s="76"/>
      <c r="G44" s="76"/>
    </row>
    <row r="45" spans="2:7" x14ac:dyDescent="0.25">
      <c r="B45" s="74"/>
      <c r="C45" s="28"/>
      <c r="D45" s="76"/>
      <c r="G45" s="76"/>
    </row>
    <row r="46" spans="2:7" x14ac:dyDescent="0.25">
      <c r="B46" s="74"/>
      <c r="C46" s="28"/>
      <c r="D46" s="76"/>
    </row>
    <row r="47" spans="2:7" x14ac:dyDescent="0.25">
      <c r="B47" s="74"/>
      <c r="C47" s="28"/>
      <c r="D47" s="76"/>
    </row>
    <row r="48" spans="2:7" x14ac:dyDescent="0.25">
      <c r="B48" s="74"/>
      <c r="C48" s="28"/>
      <c r="D48" s="76"/>
    </row>
    <row r="49" spans="2:4" x14ac:dyDescent="0.25">
      <c r="B49" s="74"/>
      <c r="C49" s="28"/>
      <c r="D49" s="76"/>
    </row>
    <row r="50" spans="2:4" x14ac:dyDescent="0.25">
      <c r="B50" s="74"/>
      <c r="C50" s="28"/>
      <c r="D50" s="76"/>
    </row>
    <row r="51" spans="2:4" x14ac:dyDescent="0.25">
      <c r="B51" s="74"/>
      <c r="C51" s="28"/>
      <c r="D51" s="76"/>
    </row>
    <row r="52" spans="2:4" x14ac:dyDescent="0.25">
      <c r="B52" s="74"/>
      <c r="C52" s="28"/>
      <c r="D52" s="76"/>
    </row>
    <row r="53" spans="2:4" x14ac:dyDescent="0.25">
      <c r="B53" s="74"/>
      <c r="C53" s="28"/>
      <c r="D53" s="76"/>
    </row>
    <row r="54" spans="2:4" x14ac:dyDescent="0.25">
      <c r="B54" s="74"/>
      <c r="C54" s="28"/>
      <c r="D54" s="76"/>
    </row>
    <row r="55" spans="2:4" x14ac:dyDescent="0.25">
      <c r="B55" s="74"/>
      <c r="C55" s="28"/>
      <c r="D55" s="76"/>
    </row>
    <row r="56" spans="2:4" x14ac:dyDescent="0.25">
      <c r="B56" s="74"/>
      <c r="C56" s="28"/>
      <c r="D56" s="76"/>
    </row>
    <row r="57" spans="2:4" x14ac:dyDescent="0.25">
      <c r="B57" s="74"/>
      <c r="C57" s="28"/>
      <c r="D57" s="76"/>
    </row>
    <row r="58" spans="2:4" x14ac:dyDescent="0.25">
      <c r="B58" s="74"/>
      <c r="C58" s="28"/>
      <c r="D58" s="76"/>
    </row>
    <row r="59" spans="2:4" x14ac:dyDescent="0.25">
      <c r="B59" s="74"/>
      <c r="C59" s="28"/>
      <c r="D59" s="76"/>
    </row>
    <row r="60" spans="2:4" x14ac:dyDescent="0.25">
      <c r="B60" s="74"/>
      <c r="C60" s="28"/>
      <c r="D60" s="76"/>
    </row>
    <row r="61" spans="2:4" x14ac:dyDescent="0.25">
      <c r="B61" s="74"/>
      <c r="C61" s="28"/>
      <c r="D61" s="76"/>
    </row>
    <row r="62" spans="2:4" x14ac:dyDescent="0.25">
      <c r="B62" s="74"/>
      <c r="C62" s="28"/>
      <c r="D62" s="76"/>
    </row>
    <row r="63" spans="2:4" x14ac:dyDescent="0.25">
      <c r="B63" s="74"/>
      <c r="C63" s="28"/>
      <c r="D63" s="76"/>
    </row>
    <row r="64" spans="2:4" x14ac:dyDescent="0.25">
      <c r="B64" s="74"/>
      <c r="C64" s="28"/>
      <c r="D64" s="76"/>
    </row>
    <row r="65" spans="2:4" x14ac:dyDescent="0.25">
      <c r="B65" s="74"/>
      <c r="C65" s="28"/>
      <c r="D65" s="76"/>
    </row>
    <row r="66" spans="2:4" x14ac:dyDescent="0.25">
      <c r="B66" s="74"/>
      <c r="C66" s="28"/>
      <c r="D66" s="76"/>
    </row>
    <row r="67" spans="2:4" x14ac:dyDescent="0.25">
      <c r="B67" s="74"/>
      <c r="C67" s="28"/>
      <c r="D67" s="76"/>
    </row>
    <row r="68" spans="2:4" x14ac:dyDescent="0.25">
      <c r="B68" s="74"/>
      <c r="C68" s="28"/>
      <c r="D68" s="76"/>
    </row>
    <row r="69" spans="2:4" x14ac:dyDescent="0.25">
      <c r="B69" s="74"/>
      <c r="C69" s="28"/>
      <c r="D69" s="76"/>
    </row>
    <row r="70" spans="2:4" x14ac:dyDescent="0.25">
      <c r="B70" s="74"/>
      <c r="C70" s="28"/>
      <c r="D70" s="76"/>
    </row>
    <row r="71" spans="2:4" x14ac:dyDescent="0.25">
      <c r="B71" s="74"/>
      <c r="C71" s="28"/>
      <c r="D71" s="76"/>
    </row>
    <row r="72" spans="2:4" x14ac:dyDescent="0.25">
      <c r="B72" s="74"/>
      <c r="C72" s="28"/>
      <c r="D72" s="76"/>
    </row>
    <row r="73" spans="2:4" x14ac:dyDescent="0.25">
      <c r="B73" s="74"/>
      <c r="C73" s="28"/>
      <c r="D73" s="76"/>
    </row>
    <row r="74" spans="2:4" x14ac:dyDescent="0.25">
      <c r="B74" s="74"/>
      <c r="C74" s="28"/>
      <c r="D74" s="76"/>
    </row>
    <row r="75" spans="2:4" x14ac:dyDescent="0.25">
      <c r="B75" s="74"/>
      <c r="C75" s="28"/>
      <c r="D75" s="76"/>
    </row>
    <row r="76" spans="2:4" x14ac:dyDescent="0.25">
      <c r="B76" s="74"/>
      <c r="C76" s="28"/>
      <c r="D76" s="76"/>
    </row>
    <row r="77" spans="2:4" x14ac:dyDescent="0.25">
      <c r="B77" s="74"/>
      <c r="C77" s="28"/>
      <c r="D77" s="76"/>
    </row>
    <row r="78" spans="2:4" x14ac:dyDescent="0.25">
      <c r="B78" s="74"/>
      <c r="C78" s="28"/>
      <c r="D78" s="76"/>
    </row>
    <row r="79" spans="2:4" x14ac:dyDescent="0.25">
      <c r="B79" s="74"/>
      <c r="C79" s="28"/>
      <c r="D79" s="76"/>
    </row>
    <row r="80" spans="2:4" x14ac:dyDescent="0.25">
      <c r="B80" s="74"/>
      <c r="C80" s="28"/>
      <c r="D80" s="76"/>
    </row>
    <row r="81" spans="2:4" x14ac:dyDescent="0.25">
      <c r="B81" s="74"/>
      <c r="C81" s="28"/>
      <c r="D81" s="76"/>
    </row>
    <row r="82" spans="2:4" x14ac:dyDescent="0.25">
      <c r="B82" s="74"/>
      <c r="C82" s="28"/>
      <c r="D82" s="76"/>
    </row>
    <row r="83" spans="2:4" x14ac:dyDescent="0.25">
      <c r="B83" s="74"/>
      <c r="C83" s="28"/>
      <c r="D83" s="76"/>
    </row>
    <row r="84" spans="2:4" x14ac:dyDescent="0.25">
      <c r="B84" s="74"/>
      <c r="C84" s="28"/>
      <c r="D84" s="76"/>
    </row>
    <row r="85" spans="2:4" x14ac:dyDescent="0.25">
      <c r="B85" s="74"/>
      <c r="C85" s="28"/>
      <c r="D85" s="76"/>
    </row>
    <row r="86" spans="2:4" x14ac:dyDescent="0.25">
      <c r="B86" s="74"/>
      <c r="C86" s="28"/>
      <c r="D86" s="76"/>
    </row>
    <row r="87" spans="2:4" x14ac:dyDescent="0.25">
      <c r="B87" s="74"/>
      <c r="C87" s="28"/>
      <c r="D87" s="76"/>
    </row>
    <row r="88" spans="2:4" x14ac:dyDescent="0.25">
      <c r="B88" s="74"/>
      <c r="C88" s="28"/>
      <c r="D88" s="76"/>
    </row>
    <row r="89" spans="2:4" x14ac:dyDescent="0.25">
      <c r="B89" s="74"/>
      <c r="C89" s="28"/>
      <c r="D89" s="76"/>
    </row>
    <row r="90" spans="2:4" x14ac:dyDescent="0.25">
      <c r="B90" s="74"/>
      <c r="C90" s="28"/>
      <c r="D90" s="76"/>
    </row>
    <row r="91" spans="2:4" x14ac:dyDescent="0.25">
      <c r="B91" s="74"/>
      <c r="C91" s="28"/>
      <c r="D91" s="76"/>
    </row>
    <row r="92" spans="2:4" x14ac:dyDescent="0.25">
      <c r="B92" s="74"/>
      <c r="C92" s="28"/>
      <c r="D92" s="76"/>
    </row>
    <row r="93" spans="2:4" x14ac:dyDescent="0.25">
      <c r="B93" s="74"/>
      <c r="C93" s="28"/>
      <c r="D93" s="76"/>
    </row>
    <row r="94" spans="2:4" x14ac:dyDescent="0.25">
      <c r="B94" s="74"/>
      <c r="C94" s="28"/>
      <c r="D94" s="76"/>
    </row>
    <row r="95" spans="2:4" x14ac:dyDescent="0.25">
      <c r="B95" s="74"/>
      <c r="C95" s="28"/>
      <c r="D95" s="76"/>
    </row>
    <row r="96" spans="2:4" x14ac:dyDescent="0.25">
      <c r="B96" s="74"/>
      <c r="C96" s="28"/>
      <c r="D96" s="76"/>
    </row>
    <row r="97" spans="2:4" x14ac:dyDescent="0.25">
      <c r="B97" s="74"/>
      <c r="C97" s="28"/>
      <c r="D97" s="76"/>
    </row>
    <row r="98" spans="2:4" x14ac:dyDescent="0.25">
      <c r="B98" s="74"/>
      <c r="C98" s="28"/>
      <c r="D98" s="76"/>
    </row>
    <row r="99" spans="2:4" x14ac:dyDescent="0.25">
      <c r="B99" s="74"/>
      <c r="C99" s="28"/>
      <c r="D99" s="76"/>
    </row>
    <row r="100" spans="2:4" x14ac:dyDescent="0.25">
      <c r="B100" s="74"/>
      <c r="C100" s="28"/>
      <c r="D100" s="76"/>
    </row>
    <row r="101" spans="2:4" x14ac:dyDescent="0.25">
      <c r="B101" s="74"/>
      <c r="C101" s="28"/>
      <c r="D101" s="76"/>
    </row>
    <row r="102" spans="2:4" x14ac:dyDescent="0.25">
      <c r="B102" s="74"/>
      <c r="C102" s="28"/>
      <c r="D102" s="76"/>
    </row>
    <row r="103" spans="2:4" x14ac:dyDescent="0.25">
      <c r="B103" s="74"/>
      <c r="C103" s="28"/>
      <c r="D103" s="76"/>
    </row>
    <row r="104" spans="2:4" x14ac:dyDescent="0.25">
      <c r="B104" s="74"/>
      <c r="C104" s="28"/>
      <c r="D104" s="76"/>
    </row>
    <row r="105" spans="2:4" x14ac:dyDescent="0.25">
      <c r="B105" s="28"/>
      <c r="C105" s="28"/>
      <c r="D105" s="76"/>
    </row>
    <row r="106" spans="2:4" x14ac:dyDescent="0.25">
      <c r="B106" s="28"/>
      <c r="C106" s="28"/>
      <c r="D106" s="76"/>
    </row>
    <row r="107" spans="2:4" x14ac:dyDescent="0.25">
      <c r="B107" s="28"/>
      <c r="C107" s="28"/>
      <c r="D107" s="76"/>
    </row>
    <row r="108" spans="2:4" x14ac:dyDescent="0.25">
      <c r="B108" s="28"/>
      <c r="C108" s="28"/>
      <c r="D108" s="76"/>
    </row>
    <row r="109" spans="2:4" x14ac:dyDescent="0.25">
      <c r="B109" s="28"/>
      <c r="C109" s="28"/>
      <c r="D109" s="76"/>
    </row>
    <row r="110" spans="2:4" x14ac:dyDescent="0.25">
      <c r="B110" s="28"/>
      <c r="C110" s="28"/>
      <c r="D110" s="76"/>
    </row>
    <row r="111" spans="2:4" x14ac:dyDescent="0.25">
      <c r="B111" s="28"/>
      <c r="C111" s="28"/>
      <c r="D111" s="76"/>
    </row>
    <row r="112" spans="2:4" x14ac:dyDescent="0.25">
      <c r="B112" s="28"/>
      <c r="C112" s="28"/>
      <c r="D112" s="76"/>
    </row>
    <row r="113" spans="2:4" x14ac:dyDescent="0.25">
      <c r="B113" s="28"/>
      <c r="C113" s="28"/>
      <c r="D113" s="76"/>
    </row>
    <row r="114" spans="2:4" x14ac:dyDescent="0.25">
      <c r="B114" s="28"/>
      <c r="C114" s="28"/>
      <c r="D114" s="76"/>
    </row>
    <row r="115" spans="2:4" x14ac:dyDescent="0.25">
      <c r="B115" s="28"/>
      <c r="C115" s="28"/>
      <c r="D115" s="76"/>
    </row>
    <row r="116" spans="2:4" x14ac:dyDescent="0.25">
      <c r="B116" s="28"/>
      <c r="C116" s="28"/>
      <c r="D116" s="76"/>
    </row>
    <row r="117" spans="2:4" x14ac:dyDescent="0.25">
      <c r="B117" s="28"/>
      <c r="C117" s="28"/>
      <c r="D117" s="74"/>
    </row>
    <row r="118" spans="2:4" x14ac:dyDescent="0.25">
      <c r="B118" s="28"/>
      <c r="C118" s="28"/>
      <c r="D118" s="74"/>
    </row>
    <row r="119" spans="2:4" x14ac:dyDescent="0.25">
      <c r="B119" s="28"/>
      <c r="C119" s="28"/>
      <c r="D119" s="74"/>
    </row>
    <row r="120" spans="2:4" x14ac:dyDescent="0.25">
      <c r="B120" s="28"/>
      <c r="C120" s="28"/>
    </row>
    <row r="121" spans="2:4" x14ac:dyDescent="0.25">
      <c r="B121" s="28"/>
      <c r="C121" s="28"/>
    </row>
  </sheetData>
  <sortState xmlns:xlrd2="http://schemas.microsoft.com/office/spreadsheetml/2017/richdata2" ref="J6:J19">
    <sortCondition ref="J6"/>
  </sortState>
  <mergeCells count="11">
    <mergeCell ref="G6:G9"/>
    <mergeCell ref="H6:H9"/>
    <mergeCell ref="A1:E1"/>
    <mergeCell ref="A2:E2"/>
    <mergeCell ref="A3:E3"/>
    <mergeCell ref="A4:E4"/>
    <mergeCell ref="A6:A9"/>
    <mergeCell ref="D6:D9"/>
    <mergeCell ref="E6:E9"/>
    <mergeCell ref="F6:F9"/>
    <mergeCell ref="B6:C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500"/>
  <sheetViews>
    <sheetView topLeftCell="O1" workbookViewId="0">
      <selection activeCell="R11" sqref="R11"/>
    </sheetView>
  </sheetViews>
  <sheetFormatPr baseColWidth="10" defaultColWidth="11.42578125" defaultRowHeight="15" x14ac:dyDescent="0.25"/>
  <cols>
    <col min="1" max="1" width="99.28515625" style="32" customWidth="1"/>
  </cols>
  <sheetData>
    <row r="1" spans="1:3" ht="15.75" customHeight="1" x14ac:dyDescent="0.25">
      <c r="A1" s="104"/>
      <c r="B1" s="1"/>
      <c r="C1" s="1"/>
    </row>
    <row r="2" spans="1:3" ht="13.5" customHeight="1" x14ac:dyDescent="0.25">
      <c r="A2" s="104"/>
      <c r="B2" s="1"/>
      <c r="C2" s="1"/>
    </row>
    <row r="3" spans="1:3" ht="13.5" customHeight="1" x14ac:dyDescent="0.25">
      <c r="A3" s="104"/>
      <c r="B3" s="1"/>
      <c r="C3" s="1"/>
    </row>
    <row r="4" spans="1:3" ht="13.5" customHeight="1" x14ac:dyDescent="0.25">
      <c r="A4" s="105"/>
      <c r="B4" s="1"/>
      <c r="C4" s="1"/>
    </row>
    <row r="5" spans="1:3" ht="68.25" customHeight="1" x14ac:dyDescent="0.25">
      <c r="A5" s="105"/>
      <c r="B5" s="1"/>
      <c r="C5" s="1"/>
    </row>
    <row r="6" spans="1:3" s="1" customFormat="1" ht="32.25" customHeight="1" x14ac:dyDescent="0.35">
      <c r="A6" s="110"/>
    </row>
    <row r="7" spans="1:3" s="103" customFormat="1" ht="46.5" customHeight="1" x14ac:dyDescent="0.55000000000000004">
      <c r="A7" s="111"/>
    </row>
    <row r="8" spans="1:3" x14ac:dyDescent="0.25">
      <c r="A8" s="107"/>
    </row>
    <row r="9" spans="1:3" x14ac:dyDescent="0.25">
      <c r="A9" s="108"/>
    </row>
    <row r="10" spans="1:3" x14ac:dyDescent="0.25">
      <c r="A10" s="106"/>
    </row>
    <row r="11" spans="1:3" x14ac:dyDescent="0.25">
      <c r="A11" s="106"/>
    </row>
    <row r="12" spans="1:3" x14ac:dyDescent="0.25">
      <c r="A12" s="109"/>
    </row>
    <row r="13" spans="1:3" x14ac:dyDescent="0.25">
      <c r="A13" s="108"/>
    </row>
    <row r="14" spans="1:3" x14ac:dyDescent="0.25">
      <c r="A14" s="106"/>
    </row>
    <row r="15" spans="1:3" x14ac:dyDescent="0.25">
      <c r="A15" s="106"/>
    </row>
    <row r="16" spans="1:3" x14ac:dyDescent="0.25">
      <c r="A16" s="107"/>
    </row>
    <row r="17" spans="1:1" x14ac:dyDescent="0.25">
      <c r="A17" s="108"/>
    </row>
    <row r="18" spans="1:1" x14ac:dyDescent="0.25">
      <c r="A18" s="106"/>
    </row>
    <row r="19" spans="1:1" x14ac:dyDescent="0.25">
      <c r="A19" s="106"/>
    </row>
    <row r="20" spans="1:1" x14ac:dyDescent="0.25">
      <c r="A20" s="107"/>
    </row>
    <row r="21" spans="1:1" x14ac:dyDescent="0.25">
      <c r="A21" s="106"/>
    </row>
    <row r="22" spans="1:1" x14ac:dyDescent="0.25">
      <c r="A22" s="106"/>
    </row>
    <row r="23" spans="1:1" x14ac:dyDescent="0.25">
      <c r="A23" s="106"/>
    </row>
    <row r="24" spans="1:1" x14ac:dyDescent="0.25">
      <c r="A24" s="107"/>
    </row>
    <row r="25" spans="1:1" x14ac:dyDescent="0.25">
      <c r="A25" s="108"/>
    </row>
    <row r="26" spans="1:1" x14ac:dyDescent="0.25">
      <c r="A26" s="106"/>
    </row>
    <row r="27" spans="1:1" x14ac:dyDescent="0.25">
      <c r="A27" s="106"/>
    </row>
    <row r="28" spans="1:1" x14ac:dyDescent="0.25">
      <c r="A28" s="107"/>
    </row>
    <row r="29" spans="1:1" x14ac:dyDescent="0.25">
      <c r="A29" s="106"/>
    </row>
    <row r="30" spans="1:1" x14ac:dyDescent="0.25">
      <c r="A30" s="106"/>
    </row>
    <row r="31" spans="1:1" x14ac:dyDescent="0.25">
      <c r="A31" s="108"/>
    </row>
    <row r="32" spans="1:1" x14ac:dyDescent="0.25">
      <c r="A32" s="107"/>
    </row>
    <row r="33" spans="1:1" x14ac:dyDescent="0.25">
      <c r="A33" s="106"/>
    </row>
    <row r="34" spans="1:1" x14ac:dyDescent="0.25">
      <c r="A34" s="106"/>
    </row>
    <row r="35" spans="1:1" x14ac:dyDescent="0.25">
      <c r="A35" s="108"/>
    </row>
    <row r="36" spans="1:1" x14ac:dyDescent="0.25">
      <c r="A36" s="107"/>
    </row>
    <row r="37" spans="1:1" x14ac:dyDescent="0.25">
      <c r="A37" s="106"/>
    </row>
    <row r="38" spans="1:1" x14ac:dyDescent="0.25">
      <c r="A38" s="106"/>
    </row>
    <row r="39" spans="1:1" x14ac:dyDescent="0.25">
      <c r="A39" s="108"/>
    </row>
    <row r="40" spans="1:1" x14ac:dyDescent="0.25">
      <c r="A40" s="107"/>
    </row>
    <row r="41" spans="1:1" x14ac:dyDescent="0.25">
      <c r="A41" s="106"/>
    </row>
    <row r="42" spans="1:1" x14ac:dyDescent="0.25">
      <c r="A42" s="106"/>
    </row>
    <row r="43" spans="1:1" x14ac:dyDescent="0.25">
      <c r="A43" s="107"/>
    </row>
    <row r="44" spans="1:1" x14ac:dyDescent="0.25">
      <c r="A44" s="106"/>
    </row>
    <row r="45" spans="1:1" x14ac:dyDescent="0.25">
      <c r="A45" s="108"/>
    </row>
    <row r="46" spans="1:1" x14ac:dyDescent="0.25">
      <c r="A46" s="107"/>
    </row>
    <row r="47" spans="1:1" x14ac:dyDescent="0.25">
      <c r="A47" s="108"/>
    </row>
    <row r="48" spans="1:1" x14ac:dyDescent="0.25">
      <c r="A48" s="106"/>
    </row>
    <row r="49" spans="1:1" x14ac:dyDescent="0.25">
      <c r="A49" s="108"/>
    </row>
    <row r="50" spans="1:1" x14ac:dyDescent="0.25">
      <c r="A50" s="108"/>
    </row>
    <row r="51" spans="1:1" x14ac:dyDescent="0.25">
      <c r="A51" s="108"/>
    </row>
    <row r="52" spans="1:1" x14ac:dyDescent="0.25">
      <c r="A52" s="106"/>
    </row>
    <row r="53" spans="1:1" x14ac:dyDescent="0.25">
      <c r="A53" s="106"/>
    </row>
    <row r="54" spans="1:1" x14ac:dyDescent="0.25">
      <c r="A54" s="108"/>
    </row>
    <row r="55" spans="1:1" x14ac:dyDescent="0.25">
      <c r="A55" s="108"/>
    </row>
    <row r="56" spans="1:1" x14ac:dyDescent="0.25">
      <c r="A56" s="106"/>
    </row>
    <row r="57" spans="1:1" x14ac:dyDescent="0.25">
      <c r="A57" s="108"/>
    </row>
    <row r="58" spans="1:1" x14ac:dyDescent="0.25">
      <c r="A58" s="106"/>
    </row>
    <row r="59" spans="1:1" x14ac:dyDescent="0.25">
      <c r="A59" s="108"/>
    </row>
    <row r="60" spans="1:1" x14ac:dyDescent="0.25">
      <c r="A60" s="106"/>
    </row>
    <row r="61" spans="1:1" x14ac:dyDescent="0.25">
      <c r="A61" s="108"/>
    </row>
    <row r="62" spans="1:1" x14ac:dyDescent="0.25">
      <c r="A62" s="108"/>
    </row>
    <row r="63" spans="1:1" x14ac:dyDescent="0.25">
      <c r="A63" s="108"/>
    </row>
    <row r="64" spans="1:1" x14ac:dyDescent="0.25">
      <c r="A64" s="106"/>
    </row>
    <row r="65" spans="1:1" x14ac:dyDescent="0.25">
      <c r="A65" s="108"/>
    </row>
    <row r="66" spans="1:1" x14ac:dyDescent="0.25">
      <c r="A66" s="108"/>
    </row>
    <row r="67" spans="1:1" x14ac:dyDescent="0.25">
      <c r="A67" s="105"/>
    </row>
    <row r="68" spans="1:1" x14ac:dyDescent="0.25">
      <c r="A68" s="106"/>
    </row>
    <row r="69" spans="1:1" x14ac:dyDescent="0.25">
      <c r="A69" s="105"/>
    </row>
    <row r="70" spans="1:1" x14ac:dyDescent="0.25">
      <c r="A70" s="108"/>
    </row>
    <row r="71" spans="1:1" x14ac:dyDescent="0.25">
      <c r="A71" s="105"/>
    </row>
    <row r="72" spans="1:1" x14ac:dyDescent="0.25">
      <c r="A72" s="106"/>
    </row>
    <row r="73" spans="1:1" x14ac:dyDescent="0.25">
      <c r="A73" s="105"/>
    </row>
    <row r="74" spans="1:1" x14ac:dyDescent="0.25">
      <c r="A74" s="106"/>
    </row>
    <row r="75" spans="1:1" x14ac:dyDescent="0.25">
      <c r="A75" s="108"/>
    </row>
    <row r="76" spans="1:1" x14ac:dyDescent="0.25">
      <c r="A76" s="108"/>
    </row>
    <row r="77" spans="1:1" x14ac:dyDescent="0.25">
      <c r="A77" s="105"/>
    </row>
    <row r="78" spans="1:1" x14ac:dyDescent="0.25">
      <c r="A78" s="106"/>
    </row>
    <row r="79" spans="1:1" x14ac:dyDescent="0.25">
      <c r="A79" s="105"/>
    </row>
    <row r="80" spans="1:1" x14ac:dyDescent="0.25">
      <c r="A80" s="108"/>
    </row>
    <row r="81" spans="1:1" x14ac:dyDescent="0.25">
      <c r="A81" s="105"/>
    </row>
    <row r="82" spans="1:1" x14ac:dyDescent="0.25">
      <c r="A82" s="106"/>
    </row>
    <row r="83" spans="1:1" x14ac:dyDescent="0.25">
      <c r="A83" s="105"/>
    </row>
    <row r="84" spans="1:1" x14ac:dyDescent="0.25">
      <c r="A84" s="108"/>
    </row>
    <row r="85" spans="1:1" x14ac:dyDescent="0.25">
      <c r="A85" s="105"/>
    </row>
    <row r="86" spans="1:1" x14ac:dyDescent="0.25">
      <c r="A86" s="106"/>
    </row>
    <row r="87" spans="1:1" x14ac:dyDescent="0.25">
      <c r="A87" s="105"/>
    </row>
    <row r="88" spans="1:1" x14ac:dyDescent="0.25">
      <c r="A88" s="105"/>
    </row>
    <row r="89" spans="1:1" x14ac:dyDescent="0.25">
      <c r="A89" s="108"/>
    </row>
    <row r="90" spans="1:1" x14ac:dyDescent="0.25">
      <c r="A90" s="105"/>
    </row>
    <row r="91" spans="1:1" x14ac:dyDescent="0.25">
      <c r="A91" s="105"/>
    </row>
    <row r="92" spans="1:1" x14ac:dyDescent="0.25">
      <c r="A92" s="105"/>
    </row>
    <row r="93" spans="1:1" x14ac:dyDescent="0.25">
      <c r="A93" s="105"/>
    </row>
    <row r="94" spans="1:1" x14ac:dyDescent="0.25">
      <c r="A94" s="105"/>
    </row>
    <row r="95" spans="1:1" x14ac:dyDescent="0.25">
      <c r="A95" s="105"/>
    </row>
    <row r="96" spans="1:1" x14ac:dyDescent="0.25">
      <c r="A96" s="105"/>
    </row>
    <row r="97" spans="1:1" x14ac:dyDescent="0.25">
      <c r="A97" s="105"/>
    </row>
    <row r="98" spans="1:1" x14ac:dyDescent="0.25">
      <c r="A98" s="105"/>
    </row>
    <row r="99" spans="1:1" x14ac:dyDescent="0.25">
      <c r="A99" s="105"/>
    </row>
    <row r="100" spans="1:1" x14ac:dyDescent="0.25">
      <c r="A100" s="104"/>
    </row>
    <row r="101" spans="1:1" x14ac:dyDescent="0.25">
      <c r="A101" s="104"/>
    </row>
    <row r="102" spans="1:1" x14ac:dyDescent="0.25">
      <c r="A102" s="104"/>
    </row>
    <row r="103" spans="1:1" x14ac:dyDescent="0.25">
      <c r="A103" s="104"/>
    </row>
    <row r="104" spans="1:1" x14ac:dyDescent="0.25">
      <c r="A104" s="104"/>
    </row>
    <row r="105" spans="1:1" x14ac:dyDescent="0.25">
      <c r="A105" s="104"/>
    </row>
    <row r="106" spans="1:1" x14ac:dyDescent="0.25">
      <c r="A106" s="104"/>
    </row>
    <row r="107" spans="1:1" x14ac:dyDescent="0.25">
      <c r="A107" s="104"/>
    </row>
    <row r="108" spans="1:1" x14ac:dyDescent="0.25">
      <c r="A108" s="104"/>
    </row>
    <row r="109" spans="1:1" x14ac:dyDescent="0.25">
      <c r="A109" s="104"/>
    </row>
    <row r="110" spans="1:1" x14ac:dyDescent="0.25">
      <c r="A110" s="104"/>
    </row>
    <row r="111" spans="1:1" x14ac:dyDescent="0.25">
      <c r="A111" s="104"/>
    </row>
    <row r="112" spans="1:1" x14ac:dyDescent="0.25">
      <c r="A112" s="104"/>
    </row>
    <row r="113" spans="1:1" x14ac:dyDescent="0.25">
      <c r="A113" s="104"/>
    </row>
    <row r="114" spans="1:1" x14ac:dyDescent="0.25">
      <c r="A114" s="104"/>
    </row>
    <row r="115" spans="1:1" x14ac:dyDescent="0.25">
      <c r="A115" s="104"/>
    </row>
    <row r="116" spans="1:1" x14ac:dyDescent="0.25">
      <c r="A116" s="104"/>
    </row>
    <row r="117" spans="1:1" x14ac:dyDescent="0.25">
      <c r="A117" s="104"/>
    </row>
    <row r="118" spans="1:1" x14ac:dyDescent="0.25">
      <c r="A118" s="104"/>
    </row>
    <row r="119" spans="1:1" x14ac:dyDescent="0.25">
      <c r="A119" s="104"/>
    </row>
    <row r="120" spans="1:1" x14ac:dyDescent="0.25">
      <c r="A120" s="104"/>
    </row>
    <row r="121" spans="1:1" x14ac:dyDescent="0.25">
      <c r="A121" s="104"/>
    </row>
    <row r="122" spans="1:1" x14ac:dyDescent="0.25">
      <c r="A122" s="104"/>
    </row>
    <row r="123" spans="1:1" x14ac:dyDescent="0.25">
      <c r="A123" s="104"/>
    </row>
    <row r="124" spans="1:1" x14ac:dyDescent="0.25">
      <c r="A124" s="104"/>
    </row>
    <row r="125" spans="1:1" x14ac:dyDescent="0.25">
      <c r="A125" s="104"/>
    </row>
    <row r="126" spans="1:1" x14ac:dyDescent="0.25">
      <c r="A126" s="104"/>
    </row>
    <row r="127" spans="1:1" x14ac:dyDescent="0.25">
      <c r="A127" s="104"/>
    </row>
    <row r="128" spans="1:1" x14ac:dyDescent="0.25">
      <c r="A128" s="104"/>
    </row>
    <row r="129" spans="1:1" x14ac:dyDescent="0.25">
      <c r="A129" s="104"/>
    </row>
    <row r="130" spans="1:1" x14ac:dyDescent="0.25">
      <c r="A130" s="104"/>
    </row>
    <row r="131" spans="1:1" x14ac:dyDescent="0.25">
      <c r="A131" s="104"/>
    </row>
    <row r="132" spans="1:1" x14ac:dyDescent="0.25">
      <c r="A132" s="104"/>
    </row>
    <row r="133" spans="1:1" x14ac:dyDescent="0.25">
      <c r="A133" s="104"/>
    </row>
    <row r="134" spans="1:1" x14ac:dyDescent="0.25">
      <c r="A134" s="104"/>
    </row>
    <row r="135" spans="1:1" x14ac:dyDescent="0.25">
      <c r="A135" s="104"/>
    </row>
    <row r="136" spans="1:1" x14ac:dyDescent="0.25">
      <c r="A136" s="104"/>
    </row>
    <row r="137" spans="1:1" x14ac:dyDescent="0.25">
      <c r="A137" s="104"/>
    </row>
    <row r="138" spans="1:1" x14ac:dyDescent="0.25">
      <c r="A138" s="104"/>
    </row>
    <row r="139" spans="1:1" x14ac:dyDescent="0.25">
      <c r="A139" s="104"/>
    </row>
    <row r="140" spans="1:1" x14ac:dyDescent="0.25">
      <c r="A140" s="104"/>
    </row>
    <row r="141" spans="1:1" x14ac:dyDescent="0.25">
      <c r="A141" s="104"/>
    </row>
    <row r="142" spans="1:1" x14ac:dyDescent="0.25">
      <c r="A142" s="104"/>
    </row>
    <row r="143" spans="1:1" x14ac:dyDescent="0.25">
      <c r="A143" s="104"/>
    </row>
    <row r="144" spans="1:1" x14ac:dyDescent="0.25">
      <c r="A144" s="104"/>
    </row>
    <row r="145" spans="1:1" x14ac:dyDescent="0.25">
      <c r="A145" s="104"/>
    </row>
    <row r="146" spans="1:1" x14ac:dyDescent="0.25">
      <c r="A146" s="104"/>
    </row>
    <row r="147" spans="1:1" x14ac:dyDescent="0.25">
      <c r="A147" s="104"/>
    </row>
    <row r="148" spans="1:1" x14ac:dyDescent="0.25">
      <c r="A148" s="104"/>
    </row>
    <row r="149" spans="1:1" x14ac:dyDescent="0.25">
      <c r="A149" s="104"/>
    </row>
    <row r="150" spans="1:1" x14ac:dyDescent="0.25">
      <c r="A150" s="104"/>
    </row>
    <row r="151" spans="1:1" x14ac:dyDescent="0.25">
      <c r="A151" s="104"/>
    </row>
    <row r="152" spans="1:1" x14ac:dyDescent="0.25">
      <c r="A152" s="104"/>
    </row>
    <row r="153" spans="1:1" x14ac:dyDescent="0.25">
      <c r="A153" s="104"/>
    </row>
    <row r="154" spans="1:1" x14ac:dyDescent="0.25">
      <c r="A154" s="104"/>
    </row>
    <row r="155" spans="1:1" x14ac:dyDescent="0.25">
      <c r="A155" s="104"/>
    </row>
    <row r="156" spans="1:1" x14ac:dyDescent="0.25">
      <c r="A156" s="104"/>
    </row>
    <row r="157" spans="1:1" x14ac:dyDescent="0.25">
      <c r="A157" s="104"/>
    </row>
    <row r="158" spans="1:1" x14ac:dyDescent="0.25">
      <c r="A158" s="104"/>
    </row>
    <row r="159" spans="1:1" x14ac:dyDescent="0.25">
      <c r="A159" s="104"/>
    </row>
    <row r="160" spans="1:1" x14ac:dyDescent="0.25">
      <c r="A160" s="104"/>
    </row>
    <row r="161" spans="1:1" x14ac:dyDescent="0.25">
      <c r="A161" s="104"/>
    </row>
    <row r="162" spans="1:1" x14ac:dyDescent="0.25">
      <c r="A162" s="104"/>
    </row>
    <row r="163" spans="1:1" x14ac:dyDescent="0.25">
      <c r="A163" s="104"/>
    </row>
    <row r="164" spans="1:1" x14ac:dyDescent="0.25">
      <c r="A164" s="104"/>
    </row>
    <row r="165" spans="1:1" x14ac:dyDescent="0.25">
      <c r="A165" s="104"/>
    </row>
    <row r="166" spans="1:1" x14ac:dyDescent="0.25">
      <c r="A166" s="104"/>
    </row>
    <row r="167" spans="1:1" x14ac:dyDescent="0.25">
      <c r="A167" s="104"/>
    </row>
    <row r="168" spans="1:1" x14ac:dyDescent="0.25">
      <c r="A168" s="104"/>
    </row>
    <row r="169" spans="1:1" x14ac:dyDescent="0.25">
      <c r="A169" s="104"/>
    </row>
    <row r="170" spans="1:1" x14ac:dyDescent="0.25">
      <c r="A170" s="104"/>
    </row>
    <row r="171" spans="1:1" x14ac:dyDescent="0.25">
      <c r="A171" s="104"/>
    </row>
    <row r="172" spans="1:1" x14ac:dyDescent="0.25">
      <c r="A172" s="104"/>
    </row>
    <row r="173" spans="1:1" x14ac:dyDescent="0.25">
      <c r="A173" s="104"/>
    </row>
    <row r="174" spans="1:1" x14ac:dyDescent="0.25">
      <c r="A174" s="104"/>
    </row>
    <row r="175" spans="1:1" x14ac:dyDescent="0.25">
      <c r="A175" s="104"/>
    </row>
    <row r="176" spans="1:1" x14ac:dyDescent="0.25">
      <c r="A176" s="104"/>
    </row>
    <row r="177" spans="1:1" x14ac:dyDescent="0.25">
      <c r="A177" s="104"/>
    </row>
    <row r="178" spans="1:1" x14ac:dyDescent="0.25">
      <c r="A178" s="104"/>
    </row>
    <row r="179" spans="1:1" x14ac:dyDescent="0.25">
      <c r="A179" s="104"/>
    </row>
    <row r="180" spans="1:1" x14ac:dyDescent="0.25">
      <c r="A180" s="104"/>
    </row>
    <row r="181" spans="1:1" x14ac:dyDescent="0.25">
      <c r="A181" s="104"/>
    </row>
    <row r="182" spans="1:1" x14ac:dyDescent="0.25">
      <c r="A182" s="104"/>
    </row>
    <row r="183" spans="1:1" x14ac:dyDescent="0.25">
      <c r="A183" s="104"/>
    </row>
    <row r="184" spans="1:1" x14ac:dyDescent="0.25">
      <c r="A184" s="104"/>
    </row>
    <row r="185" spans="1:1" x14ac:dyDescent="0.25">
      <c r="A185" s="104"/>
    </row>
    <row r="186" spans="1:1" x14ac:dyDescent="0.25">
      <c r="A186" s="104"/>
    </row>
    <row r="187" spans="1:1" x14ac:dyDescent="0.25">
      <c r="A187" s="104"/>
    </row>
    <row r="188" spans="1:1" x14ac:dyDescent="0.25">
      <c r="A188" s="104"/>
    </row>
    <row r="189" spans="1:1" x14ac:dyDescent="0.25">
      <c r="A189" s="104"/>
    </row>
    <row r="190" spans="1:1" x14ac:dyDescent="0.25">
      <c r="A190" s="104"/>
    </row>
    <row r="191" spans="1:1" x14ac:dyDescent="0.25">
      <c r="A191" s="104"/>
    </row>
    <row r="192" spans="1:1" x14ac:dyDescent="0.25">
      <c r="A192" s="104"/>
    </row>
    <row r="193" spans="1:1" x14ac:dyDescent="0.25">
      <c r="A193" s="104"/>
    </row>
    <row r="194" spans="1:1" x14ac:dyDescent="0.25">
      <c r="A194" s="104"/>
    </row>
    <row r="195" spans="1:1" x14ac:dyDescent="0.25">
      <c r="A195" s="104"/>
    </row>
    <row r="196" spans="1:1" x14ac:dyDescent="0.25">
      <c r="A196" s="104"/>
    </row>
    <row r="197" spans="1:1" x14ac:dyDescent="0.25">
      <c r="A197" s="104"/>
    </row>
    <row r="198" spans="1:1" x14ac:dyDescent="0.25">
      <c r="A198" s="104"/>
    </row>
    <row r="199" spans="1:1" x14ac:dyDescent="0.25">
      <c r="A199" s="104"/>
    </row>
    <row r="200" spans="1:1" x14ac:dyDescent="0.25">
      <c r="A200" s="104"/>
    </row>
    <row r="201" spans="1:1" x14ac:dyDescent="0.25">
      <c r="A201" s="104"/>
    </row>
    <row r="202" spans="1:1" x14ac:dyDescent="0.25">
      <c r="A202" s="104"/>
    </row>
    <row r="203" spans="1:1" x14ac:dyDescent="0.25">
      <c r="A203" s="104"/>
    </row>
    <row r="204" spans="1:1" x14ac:dyDescent="0.25">
      <c r="A204" s="104"/>
    </row>
    <row r="205" spans="1:1" x14ac:dyDescent="0.25">
      <c r="A205" s="104"/>
    </row>
    <row r="206" spans="1:1" x14ac:dyDescent="0.25">
      <c r="A206" s="104"/>
    </row>
    <row r="207" spans="1:1" x14ac:dyDescent="0.25">
      <c r="A207" s="104"/>
    </row>
    <row r="208" spans="1:1" x14ac:dyDescent="0.25">
      <c r="A208" s="104"/>
    </row>
    <row r="209" spans="1:1" x14ac:dyDescent="0.25">
      <c r="A209" s="104"/>
    </row>
    <row r="210" spans="1:1" x14ac:dyDescent="0.25">
      <c r="A210" s="104"/>
    </row>
    <row r="211" spans="1:1" x14ac:dyDescent="0.25">
      <c r="A211" s="104"/>
    </row>
    <row r="212" spans="1:1" x14ac:dyDescent="0.25">
      <c r="A212" s="104"/>
    </row>
    <row r="213" spans="1:1" x14ac:dyDescent="0.25">
      <c r="A213" s="104"/>
    </row>
    <row r="214" spans="1:1" x14ac:dyDescent="0.25">
      <c r="A214" s="104"/>
    </row>
    <row r="215" spans="1:1" x14ac:dyDescent="0.25">
      <c r="A215" s="104"/>
    </row>
    <row r="216" spans="1:1" x14ac:dyDescent="0.25">
      <c r="A216" s="104"/>
    </row>
    <row r="217" spans="1:1" x14ac:dyDescent="0.25">
      <c r="A217" s="104"/>
    </row>
    <row r="218" spans="1:1" x14ac:dyDescent="0.25">
      <c r="A218" s="104"/>
    </row>
    <row r="219" spans="1:1" x14ac:dyDescent="0.25">
      <c r="A219" s="104"/>
    </row>
    <row r="220" spans="1:1" x14ac:dyDescent="0.25">
      <c r="A220" s="104"/>
    </row>
    <row r="221" spans="1:1" x14ac:dyDescent="0.25">
      <c r="A221" s="104"/>
    </row>
    <row r="222" spans="1:1" x14ac:dyDescent="0.25">
      <c r="A222" s="104"/>
    </row>
    <row r="223" spans="1:1" x14ac:dyDescent="0.25">
      <c r="A223" s="104"/>
    </row>
    <row r="224" spans="1:1" x14ac:dyDescent="0.25">
      <c r="A224" s="104"/>
    </row>
    <row r="225" spans="1:1" x14ac:dyDescent="0.25">
      <c r="A225" s="104"/>
    </row>
    <row r="226" spans="1:1" x14ac:dyDescent="0.25">
      <c r="A226" s="104"/>
    </row>
    <row r="227" spans="1:1" x14ac:dyDescent="0.25">
      <c r="A227" s="104"/>
    </row>
    <row r="228" spans="1:1" x14ac:dyDescent="0.25">
      <c r="A228" s="104"/>
    </row>
    <row r="229" spans="1:1" x14ac:dyDescent="0.25">
      <c r="A229" s="104"/>
    </row>
    <row r="230" spans="1:1" x14ac:dyDescent="0.25">
      <c r="A230" s="104"/>
    </row>
    <row r="231" spans="1:1" x14ac:dyDescent="0.25">
      <c r="A231" s="104"/>
    </row>
    <row r="232" spans="1:1" x14ac:dyDescent="0.25">
      <c r="A232" s="104"/>
    </row>
    <row r="233" spans="1:1" x14ac:dyDescent="0.25">
      <c r="A233" s="104"/>
    </row>
    <row r="234" spans="1:1" x14ac:dyDescent="0.25">
      <c r="A234" s="104"/>
    </row>
    <row r="235" spans="1:1" x14ac:dyDescent="0.25">
      <c r="A235" s="104"/>
    </row>
    <row r="236" spans="1:1" x14ac:dyDescent="0.25">
      <c r="A236" s="104"/>
    </row>
    <row r="237" spans="1:1" x14ac:dyDescent="0.25">
      <c r="A237" s="104"/>
    </row>
    <row r="238" spans="1:1" x14ac:dyDescent="0.25">
      <c r="A238" s="104"/>
    </row>
    <row r="239" spans="1:1" x14ac:dyDescent="0.25">
      <c r="A239" s="104"/>
    </row>
    <row r="240" spans="1:1" x14ac:dyDescent="0.25">
      <c r="A240" s="104"/>
    </row>
    <row r="241" spans="1:1" x14ac:dyDescent="0.25">
      <c r="A241" s="104"/>
    </row>
    <row r="242" spans="1:1" x14ac:dyDescent="0.25">
      <c r="A242" s="104"/>
    </row>
    <row r="243" spans="1:1" x14ac:dyDescent="0.25">
      <c r="A243" s="104"/>
    </row>
    <row r="244" spans="1:1" x14ac:dyDescent="0.25">
      <c r="A244" s="104"/>
    </row>
    <row r="245" spans="1:1" x14ac:dyDescent="0.25">
      <c r="A245" s="104"/>
    </row>
    <row r="246" spans="1:1" x14ac:dyDescent="0.25">
      <c r="A246" s="104"/>
    </row>
    <row r="247" spans="1:1" x14ac:dyDescent="0.25">
      <c r="A247" s="104"/>
    </row>
    <row r="248" spans="1:1" x14ac:dyDescent="0.25">
      <c r="A248" s="104"/>
    </row>
    <row r="249" spans="1:1" x14ac:dyDescent="0.25">
      <c r="A249" s="104"/>
    </row>
    <row r="250" spans="1:1" x14ac:dyDescent="0.25">
      <c r="A250" s="104"/>
    </row>
    <row r="251" spans="1:1" x14ac:dyDescent="0.25">
      <c r="A251" s="104"/>
    </row>
    <row r="252" spans="1:1" x14ac:dyDescent="0.25">
      <c r="A252" s="104"/>
    </row>
    <row r="253" spans="1:1" x14ac:dyDescent="0.25">
      <c r="A253" s="104"/>
    </row>
    <row r="254" spans="1:1" x14ac:dyDescent="0.25">
      <c r="A254" s="104"/>
    </row>
    <row r="255" spans="1:1" x14ac:dyDescent="0.25">
      <c r="A255" s="104"/>
    </row>
    <row r="256" spans="1:1" x14ac:dyDescent="0.25">
      <c r="A256" s="104"/>
    </row>
    <row r="257" spans="1:1" x14ac:dyDescent="0.25">
      <c r="A257" s="104"/>
    </row>
    <row r="258" spans="1:1" x14ac:dyDescent="0.25">
      <c r="A258" s="104"/>
    </row>
    <row r="259" spans="1:1" x14ac:dyDescent="0.25">
      <c r="A259" s="104"/>
    </row>
    <row r="260" spans="1:1" x14ac:dyDescent="0.25">
      <c r="A260" s="104"/>
    </row>
    <row r="261" spans="1:1" x14ac:dyDescent="0.25">
      <c r="A261" s="104"/>
    </row>
    <row r="262" spans="1:1" x14ac:dyDescent="0.25">
      <c r="A262" s="104"/>
    </row>
    <row r="263" spans="1:1" x14ac:dyDescent="0.25">
      <c r="A263" s="104"/>
    </row>
    <row r="264" spans="1:1" x14ac:dyDescent="0.25">
      <c r="A264" s="104"/>
    </row>
    <row r="265" spans="1:1" x14ac:dyDescent="0.25">
      <c r="A265" s="104"/>
    </row>
    <row r="266" spans="1:1" x14ac:dyDescent="0.25">
      <c r="A266" s="104"/>
    </row>
    <row r="267" spans="1:1" x14ac:dyDescent="0.25">
      <c r="A267" s="104"/>
    </row>
    <row r="268" spans="1:1" x14ac:dyDescent="0.25">
      <c r="A268" s="104"/>
    </row>
    <row r="269" spans="1:1" x14ac:dyDescent="0.25">
      <c r="A269" s="104"/>
    </row>
    <row r="270" spans="1:1" x14ac:dyDescent="0.25">
      <c r="A270" s="104"/>
    </row>
    <row r="271" spans="1:1" x14ac:dyDescent="0.25">
      <c r="A271" s="104"/>
    </row>
    <row r="272" spans="1:1" x14ac:dyDescent="0.25">
      <c r="A272" s="104"/>
    </row>
    <row r="273" spans="1:1" x14ac:dyDescent="0.25">
      <c r="A273" s="104"/>
    </row>
    <row r="274" spans="1:1" x14ac:dyDescent="0.25">
      <c r="A274" s="104"/>
    </row>
    <row r="275" spans="1:1" x14ac:dyDescent="0.25">
      <c r="A275" s="104"/>
    </row>
    <row r="276" spans="1:1" x14ac:dyDescent="0.25">
      <c r="A276" s="104"/>
    </row>
    <row r="277" spans="1:1" x14ac:dyDescent="0.25">
      <c r="A277" s="104"/>
    </row>
    <row r="278" spans="1:1" x14ac:dyDescent="0.25">
      <c r="A278" s="104"/>
    </row>
    <row r="279" spans="1:1" x14ac:dyDescent="0.25">
      <c r="A279" s="104"/>
    </row>
    <row r="280" spans="1:1" x14ac:dyDescent="0.25">
      <c r="A280" s="104"/>
    </row>
    <row r="281" spans="1:1" x14ac:dyDescent="0.25">
      <c r="A281" s="104"/>
    </row>
    <row r="282" spans="1:1" x14ac:dyDescent="0.25">
      <c r="A282" s="104"/>
    </row>
    <row r="283" spans="1:1" x14ac:dyDescent="0.25">
      <c r="A283" s="104"/>
    </row>
    <row r="284" spans="1:1" x14ac:dyDescent="0.25">
      <c r="A284" s="104"/>
    </row>
    <row r="285" spans="1:1" x14ac:dyDescent="0.25">
      <c r="A285" s="104"/>
    </row>
    <row r="286" spans="1:1" x14ac:dyDescent="0.25">
      <c r="A286" s="104"/>
    </row>
    <row r="287" spans="1:1" x14ac:dyDescent="0.25">
      <c r="A287" s="104"/>
    </row>
    <row r="288" spans="1:1" x14ac:dyDescent="0.25">
      <c r="A288" s="104"/>
    </row>
    <row r="289" spans="1:1" x14ac:dyDescent="0.25">
      <c r="A289" s="104"/>
    </row>
    <row r="290" spans="1:1" x14ac:dyDescent="0.25">
      <c r="A290" s="104"/>
    </row>
    <row r="291" spans="1:1" x14ac:dyDescent="0.25">
      <c r="A291" s="104"/>
    </row>
    <row r="292" spans="1:1" x14ac:dyDescent="0.25">
      <c r="A292" s="104"/>
    </row>
    <row r="293" spans="1:1" x14ac:dyDescent="0.25">
      <c r="A293" s="104"/>
    </row>
    <row r="294" spans="1:1" x14ac:dyDescent="0.25">
      <c r="A294" s="104"/>
    </row>
    <row r="295" spans="1:1" x14ac:dyDescent="0.25">
      <c r="A295" s="104"/>
    </row>
    <row r="296" spans="1:1" x14ac:dyDescent="0.25">
      <c r="A296" s="104"/>
    </row>
    <row r="297" spans="1:1" x14ac:dyDescent="0.25">
      <c r="A297" s="104"/>
    </row>
    <row r="298" spans="1:1" x14ac:dyDescent="0.25">
      <c r="A298" s="104"/>
    </row>
    <row r="299" spans="1:1" x14ac:dyDescent="0.25">
      <c r="A299" s="104"/>
    </row>
    <row r="300" spans="1:1" x14ac:dyDescent="0.25">
      <c r="A300" s="104"/>
    </row>
    <row r="301" spans="1:1" x14ac:dyDescent="0.25">
      <c r="A301" s="104"/>
    </row>
    <row r="302" spans="1:1" x14ac:dyDescent="0.25">
      <c r="A302" s="104"/>
    </row>
    <row r="303" spans="1:1" x14ac:dyDescent="0.25">
      <c r="A303" s="104"/>
    </row>
    <row r="304" spans="1:1" x14ac:dyDescent="0.25">
      <c r="A304" s="104"/>
    </row>
    <row r="305" spans="1:1" x14ac:dyDescent="0.25">
      <c r="A305" s="104"/>
    </row>
    <row r="306" spans="1:1" x14ac:dyDescent="0.25">
      <c r="A306" s="104"/>
    </row>
    <row r="307" spans="1:1" x14ac:dyDescent="0.25">
      <c r="A307" s="104"/>
    </row>
    <row r="308" spans="1:1" x14ac:dyDescent="0.25">
      <c r="A308" s="104"/>
    </row>
    <row r="309" spans="1:1" x14ac:dyDescent="0.25">
      <c r="A309" s="104"/>
    </row>
    <row r="310" spans="1:1" x14ac:dyDescent="0.25">
      <c r="A310" s="104"/>
    </row>
    <row r="311" spans="1:1" x14ac:dyDescent="0.25">
      <c r="A311" s="104"/>
    </row>
    <row r="312" spans="1:1" x14ac:dyDescent="0.25">
      <c r="A312" s="104"/>
    </row>
    <row r="313" spans="1:1" x14ac:dyDescent="0.25">
      <c r="A313" s="104"/>
    </row>
    <row r="314" spans="1:1" x14ac:dyDescent="0.25">
      <c r="A314" s="104"/>
    </row>
    <row r="315" spans="1:1" x14ac:dyDescent="0.25">
      <c r="A315" s="104"/>
    </row>
    <row r="316" spans="1:1" x14ac:dyDescent="0.25">
      <c r="A316" s="104"/>
    </row>
    <row r="317" spans="1:1" x14ac:dyDescent="0.25">
      <c r="A317" s="104"/>
    </row>
    <row r="318" spans="1:1" x14ac:dyDescent="0.25">
      <c r="A318" s="104"/>
    </row>
    <row r="319" spans="1:1" x14ac:dyDescent="0.25">
      <c r="A319" s="104"/>
    </row>
    <row r="320" spans="1:1" x14ac:dyDescent="0.25">
      <c r="A320" s="104"/>
    </row>
    <row r="321" spans="1:1" x14ac:dyDescent="0.25">
      <c r="A321" s="104"/>
    </row>
    <row r="322" spans="1:1" x14ac:dyDescent="0.25">
      <c r="A322" s="104"/>
    </row>
    <row r="323" spans="1:1" x14ac:dyDescent="0.25">
      <c r="A323" s="104"/>
    </row>
    <row r="324" spans="1:1" x14ac:dyDescent="0.25">
      <c r="A324" s="104"/>
    </row>
    <row r="325" spans="1:1" x14ac:dyDescent="0.25">
      <c r="A325" s="104"/>
    </row>
    <row r="326" spans="1:1" x14ac:dyDescent="0.25">
      <c r="A326" s="104"/>
    </row>
    <row r="327" spans="1:1" x14ac:dyDescent="0.25">
      <c r="A327" s="104"/>
    </row>
    <row r="328" spans="1:1" x14ac:dyDescent="0.25">
      <c r="A328" s="104"/>
    </row>
    <row r="329" spans="1:1" x14ac:dyDescent="0.25">
      <c r="A329" s="104"/>
    </row>
    <row r="330" spans="1:1" x14ac:dyDescent="0.25">
      <c r="A330" s="104"/>
    </row>
    <row r="331" spans="1:1" x14ac:dyDescent="0.25">
      <c r="A331" s="104"/>
    </row>
    <row r="332" spans="1:1" x14ac:dyDescent="0.25">
      <c r="A332" s="104"/>
    </row>
    <row r="333" spans="1:1" x14ac:dyDescent="0.25">
      <c r="A333" s="104"/>
    </row>
    <row r="334" spans="1:1" x14ac:dyDescent="0.25">
      <c r="A334" s="104"/>
    </row>
    <row r="335" spans="1:1" x14ac:dyDescent="0.25">
      <c r="A335" s="104"/>
    </row>
    <row r="336" spans="1:1" x14ac:dyDescent="0.25">
      <c r="A336" s="104"/>
    </row>
    <row r="337" spans="1:1" x14ac:dyDescent="0.25">
      <c r="A337" s="104"/>
    </row>
    <row r="338" spans="1:1" x14ac:dyDescent="0.25">
      <c r="A338" s="104"/>
    </row>
    <row r="339" spans="1:1" x14ac:dyDescent="0.25">
      <c r="A339" s="104"/>
    </row>
    <row r="340" spans="1:1" x14ac:dyDescent="0.25">
      <c r="A340" s="104"/>
    </row>
    <row r="341" spans="1:1" x14ac:dyDescent="0.25">
      <c r="A341" s="104"/>
    </row>
    <row r="342" spans="1:1" x14ac:dyDescent="0.25">
      <c r="A342" s="104"/>
    </row>
    <row r="343" spans="1:1" x14ac:dyDescent="0.25">
      <c r="A343" s="104"/>
    </row>
    <row r="344" spans="1:1" x14ac:dyDescent="0.25">
      <c r="A344" s="104"/>
    </row>
    <row r="345" spans="1:1" x14ac:dyDescent="0.25">
      <c r="A345" s="104"/>
    </row>
    <row r="346" spans="1:1" x14ac:dyDescent="0.25">
      <c r="A346" s="104"/>
    </row>
    <row r="347" spans="1:1" x14ac:dyDescent="0.25">
      <c r="A347" s="104"/>
    </row>
    <row r="348" spans="1:1" x14ac:dyDescent="0.25">
      <c r="A348" s="104"/>
    </row>
    <row r="349" spans="1:1" x14ac:dyDescent="0.25">
      <c r="A349" s="104"/>
    </row>
    <row r="350" spans="1:1" x14ac:dyDescent="0.25">
      <c r="A350" s="104"/>
    </row>
    <row r="351" spans="1:1" x14ac:dyDescent="0.25">
      <c r="A351" s="104"/>
    </row>
    <row r="352" spans="1:1" x14ac:dyDescent="0.25">
      <c r="A352" s="104"/>
    </row>
    <row r="353" spans="1:1" x14ac:dyDescent="0.25">
      <c r="A353" s="104"/>
    </row>
    <row r="354" spans="1:1" x14ac:dyDescent="0.25">
      <c r="A354" s="104"/>
    </row>
    <row r="355" spans="1:1" x14ac:dyDescent="0.25">
      <c r="A355" s="104"/>
    </row>
    <row r="356" spans="1:1" x14ac:dyDescent="0.25">
      <c r="A356" s="104"/>
    </row>
    <row r="357" spans="1:1" x14ac:dyDescent="0.25">
      <c r="A357" s="104"/>
    </row>
    <row r="358" spans="1:1" x14ac:dyDescent="0.25">
      <c r="A358" s="104"/>
    </row>
    <row r="359" spans="1:1" x14ac:dyDescent="0.25">
      <c r="A359" s="104"/>
    </row>
    <row r="360" spans="1:1" x14ac:dyDescent="0.25">
      <c r="A360" s="104"/>
    </row>
    <row r="361" spans="1:1" x14ac:dyDescent="0.25">
      <c r="A361" s="104"/>
    </row>
    <row r="362" spans="1:1" x14ac:dyDescent="0.25">
      <c r="A362" s="104"/>
    </row>
    <row r="363" spans="1:1" x14ac:dyDescent="0.25">
      <c r="A363" s="104"/>
    </row>
    <row r="364" spans="1:1" x14ac:dyDescent="0.25">
      <c r="A364" s="104"/>
    </row>
    <row r="365" spans="1:1" x14ac:dyDescent="0.25">
      <c r="A365" s="104"/>
    </row>
    <row r="366" spans="1:1" x14ac:dyDescent="0.25">
      <c r="A366" s="104"/>
    </row>
    <row r="367" spans="1:1" x14ac:dyDescent="0.25">
      <c r="A367" s="104"/>
    </row>
    <row r="368" spans="1:1" x14ac:dyDescent="0.25">
      <c r="A368" s="104"/>
    </row>
    <row r="369" spans="1:1" x14ac:dyDescent="0.25">
      <c r="A369" s="104"/>
    </row>
    <row r="370" spans="1:1" x14ac:dyDescent="0.25">
      <c r="A370" s="104"/>
    </row>
    <row r="371" spans="1:1" x14ac:dyDescent="0.25">
      <c r="A371" s="104"/>
    </row>
    <row r="372" spans="1:1" x14ac:dyDescent="0.25">
      <c r="A372" s="104"/>
    </row>
    <row r="373" spans="1:1" x14ac:dyDescent="0.25">
      <c r="A373" s="104"/>
    </row>
    <row r="374" spans="1:1" x14ac:dyDescent="0.25">
      <c r="A374" s="104"/>
    </row>
    <row r="375" spans="1:1" x14ac:dyDescent="0.25">
      <c r="A375" s="104"/>
    </row>
    <row r="376" spans="1:1" x14ac:dyDescent="0.25">
      <c r="A376" s="104"/>
    </row>
    <row r="377" spans="1:1" x14ac:dyDescent="0.25">
      <c r="A377" s="104"/>
    </row>
    <row r="378" spans="1:1" x14ac:dyDescent="0.25">
      <c r="A378" s="104"/>
    </row>
    <row r="379" spans="1:1" x14ac:dyDescent="0.25">
      <c r="A379" s="104"/>
    </row>
    <row r="380" spans="1:1" x14ac:dyDescent="0.25">
      <c r="A380" s="104"/>
    </row>
    <row r="381" spans="1:1" x14ac:dyDescent="0.25">
      <c r="A381" s="104"/>
    </row>
    <row r="382" spans="1:1" x14ac:dyDescent="0.25">
      <c r="A382" s="104"/>
    </row>
    <row r="383" spans="1:1" x14ac:dyDescent="0.25">
      <c r="A383" s="104"/>
    </row>
    <row r="384" spans="1:1" x14ac:dyDescent="0.25">
      <c r="A384" s="104"/>
    </row>
    <row r="385" spans="1:1" x14ac:dyDescent="0.25">
      <c r="A385" s="104"/>
    </row>
    <row r="386" spans="1:1" x14ac:dyDescent="0.25">
      <c r="A386" s="104"/>
    </row>
    <row r="387" spans="1:1" x14ac:dyDescent="0.25">
      <c r="A387" s="104"/>
    </row>
    <row r="388" spans="1:1" x14ac:dyDescent="0.25">
      <c r="A388" s="104"/>
    </row>
    <row r="389" spans="1:1" x14ac:dyDescent="0.25">
      <c r="A389" s="104"/>
    </row>
    <row r="390" spans="1:1" x14ac:dyDescent="0.25">
      <c r="A390" s="104"/>
    </row>
    <row r="391" spans="1:1" x14ac:dyDescent="0.25">
      <c r="A391" s="104"/>
    </row>
    <row r="392" spans="1:1" x14ac:dyDescent="0.25">
      <c r="A392" s="104"/>
    </row>
    <row r="393" spans="1:1" x14ac:dyDescent="0.25">
      <c r="A393" s="104"/>
    </row>
    <row r="394" spans="1:1" x14ac:dyDescent="0.25">
      <c r="A394" s="104"/>
    </row>
    <row r="395" spans="1:1" x14ac:dyDescent="0.25">
      <c r="A395" s="104"/>
    </row>
    <row r="396" spans="1:1" x14ac:dyDescent="0.25">
      <c r="A396" s="104"/>
    </row>
    <row r="397" spans="1:1" x14ac:dyDescent="0.25">
      <c r="A397" s="104"/>
    </row>
    <row r="398" spans="1:1" x14ac:dyDescent="0.25">
      <c r="A398" s="104"/>
    </row>
    <row r="399" spans="1:1" x14ac:dyDescent="0.25">
      <c r="A399" s="104"/>
    </row>
    <row r="400" spans="1:1" x14ac:dyDescent="0.25">
      <c r="A400" s="104"/>
    </row>
    <row r="401" spans="1:1" x14ac:dyDescent="0.25">
      <c r="A401" s="104"/>
    </row>
    <row r="402" spans="1:1" x14ac:dyDescent="0.25">
      <c r="A402" s="104"/>
    </row>
    <row r="403" spans="1:1" x14ac:dyDescent="0.25">
      <c r="A403" s="104"/>
    </row>
    <row r="404" spans="1:1" x14ac:dyDescent="0.25">
      <c r="A404" s="104"/>
    </row>
    <row r="405" spans="1:1" x14ac:dyDescent="0.25">
      <c r="A405" s="104"/>
    </row>
    <row r="406" spans="1:1" x14ac:dyDescent="0.25">
      <c r="A406" s="104"/>
    </row>
    <row r="407" spans="1:1" x14ac:dyDescent="0.25">
      <c r="A407" s="104"/>
    </row>
    <row r="408" spans="1:1" x14ac:dyDescent="0.25">
      <c r="A408" s="104"/>
    </row>
    <row r="409" spans="1:1" x14ac:dyDescent="0.25">
      <c r="A409" s="104"/>
    </row>
    <row r="410" spans="1:1" x14ac:dyDescent="0.25">
      <c r="A410" s="104"/>
    </row>
    <row r="411" spans="1:1" x14ac:dyDescent="0.25">
      <c r="A411" s="104"/>
    </row>
    <row r="412" spans="1:1" x14ac:dyDescent="0.25">
      <c r="A412" s="104"/>
    </row>
    <row r="413" spans="1:1" x14ac:dyDescent="0.25">
      <c r="A413" s="104"/>
    </row>
    <row r="414" spans="1:1" x14ac:dyDescent="0.25">
      <c r="A414" s="104"/>
    </row>
    <row r="415" spans="1:1" x14ac:dyDescent="0.25">
      <c r="A415" s="104"/>
    </row>
    <row r="416" spans="1:1" x14ac:dyDescent="0.25">
      <c r="A416" s="104"/>
    </row>
    <row r="417" spans="1:1" x14ac:dyDescent="0.25">
      <c r="A417" s="104"/>
    </row>
    <row r="418" spans="1:1" x14ac:dyDescent="0.25">
      <c r="A418" s="104"/>
    </row>
    <row r="419" spans="1:1" x14ac:dyDescent="0.25">
      <c r="A419" s="104"/>
    </row>
    <row r="420" spans="1:1" x14ac:dyDescent="0.25">
      <c r="A420" s="104"/>
    </row>
    <row r="421" spans="1:1" x14ac:dyDescent="0.25">
      <c r="A421" s="104"/>
    </row>
    <row r="422" spans="1:1" x14ac:dyDescent="0.25">
      <c r="A422" s="104"/>
    </row>
    <row r="423" spans="1:1" x14ac:dyDescent="0.25">
      <c r="A423" s="104"/>
    </row>
    <row r="424" spans="1:1" x14ac:dyDescent="0.25">
      <c r="A424" s="104"/>
    </row>
    <row r="425" spans="1:1" x14ac:dyDescent="0.25">
      <c r="A425" s="104"/>
    </row>
    <row r="426" spans="1:1" x14ac:dyDescent="0.25">
      <c r="A426" s="104"/>
    </row>
    <row r="427" spans="1:1" x14ac:dyDescent="0.25">
      <c r="A427" s="104"/>
    </row>
    <row r="428" spans="1:1" x14ac:dyDescent="0.25">
      <c r="A428" s="104"/>
    </row>
    <row r="429" spans="1:1" x14ac:dyDescent="0.25">
      <c r="A429" s="104"/>
    </row>
    <row r="430" spans="1:1" x14ac:dyDescent="0.25">
      <c r="A430" s="104"/>
    </row>
    <row r="431" spans="1:1" x14ac:dyDescent="0.25">
      <c r="A431" s="104"/>
    </row>
    <row r="432" spans="1:1" x14ac:dyDescent="0.25">
      <c r="A432" s="104"/>
    </row>
    <row r="433" spans="1:1" x14ac:dyDescent="0.25">
      <c r="A433" s="104"/>
    </row>
    <row r="434" spans="1:1" x14ac:dyDescent="0.25">
      <c r="A434" s="104"/>
    </row>
    <row r="435" spans="1:1" x14ac:dyDescent="0.25">
      <c r="A435" s="104"/>
    </row>
    <row r="436" spans="1:1" x14ac:dyDescent="0.25">
      <c r="A436" s="104"/>
    </row>
    <row r="437" spans="1:1" x14ac:dyDescent="0.25">
      <c r="A437" s="104"/>
    </row>
    <row r="438" spans="1:1" x14ac:dyDescent="0.25">
      <c r="A438" s="104"/>
    </row>
    <row r="439" spans="1:1" x14ac:dyDescent="0.25">
      <c r="A439" s="104"/>
    </row>
    <row r="440" spans="1:1" x14ac:dyDescent="0.25">
      <c r="A440" s="104"/>
    </row>
    <row r="441" spans="1:1" x14ac:dyDescent="0.25">
      <c r="A441" s="104"/>
    </row>
    <row r="442" spans="1:1" x14ac:dyDescent="0.25">
      <c r="A442" s="104"/>
    </row>
    <row r="443" spans="1:1" x14ac:dyDescent="0.25">
      <c r="A443" s="104"/>
    </row>
    <row r="444" spans="1:1" x14ac:dyDescent="0.25">
      <c r="A444" s="104"/>
    </row>
    <row r="445" spans="1:1" x14ac:dyDescent="0.25">
      <c r="A445" s="104"/>
    </row>
    <row r="446" spans="1:1" x14ac:dyDescent="0.25">
      <c r="A446" s="104"/>
    </row>
    <row r="447" spans="1:1" x14ac:dyDescent="0.25">
      <c r="A447" s="104"/>
    </row>
    <row r="448" spans="1:1" x14ac:dyDescent="0.25">
      <c r="A448" s="104"/>
    </row>
    <row r="449" spans="1:1" x14ac:dyDescent="0.25">
      <c r="A449" s="104"/>
    </row>
    <row r="450" spans="1:1" x14ac:dyDescent="0.25">
      <c r="A450" s="104"/>
    </row>
    <row r="451" spans="1:1" x14ac:dyDescent="0.25">
      <c r="A451" s="104"/>
    </row>
    <row r="452" spans="1:1" x14ac:dyDescent="0.25">
      <c r="A452" s="104"/>
    </row>
    <row r="453" spans="1:1" x14ac:dyDescent="0.25">
      <c r="A453" s="104"/>
    </row>
    <row r="454" spans="1:1" x14ac:dyDescent="0.25">
      <c r="A454" s="104"/>
    </row>
    <row r="455" spans="1:1" x14ac:dyDescent="0.25">
      <c r="A455" s="104"/>
    </row>
    <row r="456" spans="1:1" x14ac:dyDescent="0.25">
      <c r="A456" s="104"/>
    </row>
    <row r="457" spans="1:1" x14ac:dyDescent="0.25">
      <c r="A457" s="104"/>
    </row>
    <row r="458" spans="1:1" x14ac:dyDescent="0.25">
      <c r="A458" s="104"/>
    </row>
    <row r="459" spans="1:1" x14ac:dyDescent="0.25">
      <c r="A459" s="104"/>
    </row>
    <row r="460" spans="1:1" x14ac:dyDescent="0.25">
      <c r="A460" s="104"/>
    </row>
    <row r="461" spans="1:1" x14ac:dyDescent="0.25">
      <c r="A461" s="104"/>
    </row>
    <row r="462" spans="1:1" x14ac:dyDescent="0.25">
      <c r="A462" s="104"/>
    </row>
    <row r="463" spans="1:1" x14ac:dyDescent="0.25">
      <c r="A463" s="104"/>
    </row>
    <row r="464" spans="1:1" x14ac:dyDescent="0.25">
      <c r="A464" s="104"/>
    </row>
    <row r="465" spans="1:1" x14ac:dyDescent="0.25">
      <c r="A465" s="104"/>
    </row>
    <row r="466" spans="1:1" x14ac:dyDescent="0.25">
      <c r="A466" s="104"/>
    </row>
    <row r="467" spans="1:1" x14ac:dyDescent="0.25">
      <c r="A467" s="104"/>
    </row>
    <row r="468" spans="1:1" x14ac:dyDescent="0.25">
      <c r="A468" s="104"/>
    </row>
    <row r="469" spans="1:1" x14ac:dyDescent="0.25">
      <c r="A469" s="104"/>
    </row>
    <row r="470" spans="1:1" x14ac:dyDescent="0.25">
      <c r="A470" s="104"/>
    </row>
    <row r="471" spans="1:1" x14ac:dyDescent="0.25">
      <c r="A471" s="104"/>
    </row>
    <row r="472" spans="1:1" x14ac:dyDescent="0.25">
      <c r="A472" s="104"/>
    </row>
    <row r="473" spans="1:1" x14ac:dyDescent="0.25">
      <c r="A473" s="104"/>
    </row>
    <row r="474" spans="1:1" x14ac:dyDescent="0.25">
      <c r="A474" s="104"/>
    </row>
    <row r="475" spans="1:1" x14ac:dyDescent="0.25">
      <c r="A475" s="104"/>
    </row>
    <row r="476" spans="1:1" x14ac:dyDescent="0.25">
      <c r="A476" s="104"/>
    </row>
    <row r="477" spans="1:1" x14ac:dyDescent="0.25">
      <c r="A477" s="104"/>
    </row>
    <row r="478" spans="1:1" x14ac:dyDescent="0.25">
      <c r="A478" s="104"/>
    </row>
    <row r="479" spans="1:1" x14ac:dyDescent="0.25">
      <c r="A479" s="104"/>
    </row>
    <row r="480" spans="1:1" x14ac:dyDescent="0.25">
      <c r="A480" s="104"/>
    </row>
    <row r="481" spans="1:1" x14ac:dyDescent="0.25">
      <c r="A481" s="104"/>
    </row>
    <row r="482" spans="1:1" x14ac:dyDescent="0.25">
      <c r="A482" s="104"/>
    </row>
    <row r="483" spans="1:1" x14ac:dyDescent="0.25">
      <c r="A483" s="104"/>
    </row>
    <row r="484" spans="1:1" x14ac:dyDescent="0.25">
      <c r="A484" s="104"/>
    </row>
    <row r="485" spans="1:1" x14ac:dyDescent="0.25">
      <c r="A485" s="104"/>
    </row>
    <row r="486" spans="1:1" x14ac:dyDescent="0.25">
      <c r="A486" s="104"/>
    </row>
    <row r="487" spans="1:1" x14ac:dyDescent="0.25">
      <c r="A487" s="104"/>
    </row>
    <row r="488" spans="1:1" x14ac:dyDescent="0.25">
      <c r="A488" s="104"/>
    </row>
    <row r="489" spans="1:1" x14ac:dyDescent="0.25">
      <c r="A489" s="104"/>
    </row>
    <row r="490" spans="1:1" x14ac:dyDescent="0.25">
      <c r="A490" s="104"/>
    </row>
    <row r="491" spans="1:1" x14ac:dyDescent="0.25">
      <c r="A491" s="104"/>
    </row>
    <row r="492" spans="1:1" x14ac:dyDescent="0.25">
      <c r="A492" s="104"/>
    </row>
    <row r="493" spans="1:1" x14ac:dyDescent="0.25">
      <c r="A493" s="104"/>
    </row>
    <row r="494" spans="1:1" x14ac:dyDescent="0.25">
      <c r="A494" s="104"/>
    </row>
    <row r="495" spans="1:1" x14ac:dyDescent="0.25">
      <c r="A495" s="104"/>
    </row>
    <row r="496" spans="1:1" x14ac:dyDescent="0.25">
      <c r="A496" s="104"/>
    </row>
    <row r="497" spans="1:1" x14ac:dyDescent="0.25">
      <c r="A497" s="104"/>
    </row>
    <row r="498" spans="1:1" x14ac:dyDescent="0.25">
      <c r="A498" s="104"/>
    </row>
    <row r="499" spans="1:1" x14ac:dyDescent="0.25">
      <c r="A499" s="104"/>
    </row>
    <row r="500" spans="1:1" x14ac:dyDescent="0.25">
      <c r="A500" s="104"/>
    </row>
  </sheetData>
  <pageMargins left="0.25" right="0.25" top="0.75" bottom="0.75" header="0.3" footer="0.3"/>
  <pageSetup paperSize="9" orientation="portrait" r:id="rId1"/>
  <headerFooter>
    <oddFooter xml:space="preserve">&amp;C Pampa do Brasil, Rua Serra da Mantiqueraira 73 – Condomínio Empresarial Raposo Tavares - Vargem Grande Paulista – SP - Brasil TEL: +55 (11) 4158-5086 --  Fecha de criação: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361EF-0ED3-48FA-A4D6-0950C0B56F74}">
  <sheetPr codeName="Hoja5"/>
  <dimension ref="Y1:Z3"/>
  <sheetViews>
    <sheetView workbookViewId="0">
      <selection activeCell="C14" sqref="C14"/>
    </sheetView>
  </sheetViews>
  <sheetFormatPr baseColWidth="10" defaultColWidth="11.42578125" defaultRowHeight="15" x14ac:dyDescent="0.25"/>
  <sheetData>
    <row r="1" spans="25:26" x14ac:dyDescent="0.25">
      <c r="Y1" s="114">
        <v>2</v>
      </c>
      <c r="Z1" s="115">
        <f ca="1">TODAY()</f>
        <v>44735</v>
      </c>
    </row>
    <row r="2" spans="25:26" x14ac:dyDescent="0.25">
      <c r="Y2" s="114"/>
      <c r="Z2" s="115">
        <v>44765</v>
      </c>
    </row>
    <row r="3" spans="25:26" x14ac:dyDescent="0.25">
      <c r="Y3" s="114"/>
      <c r="Z3" s="114">
        <f ca="1">IF(Z2&lt;Z1,1,0)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P105"/>
  <sheetViews>
    <sheetView topLeftCell="A10" workbookViewId="0">
      <selection activeCell="C14" sqref="C14"/>
    </sheetView>
  </sheetViews>
  <sheetFormatPr baseColWidth="10" defaultColWidth="11.42578125" defaultRowHeight="15" x14ac:dyDescent="0.25"/>
  <cols>
    <col min="1" max="1" width="1.5703125" customWidth="1"/>
    <col min="2" max="2" width="18.5703125" customWidth="1"/>
    <col min="4" max="4" width="5.85546875" customWidth="1"/>
    <col min="5" max="5" width="7.7109375" customWidth="1"/>
    <col min="6" max="6" width="7.85546875" customWidth="1"/>
    <col min="7" max="7" width="11.5703125" customWidth="1"/>
    <col min="8" max="8" width="32" customWidth="1"/>
    <col min="9" max="9" width="12.5703125" customWidth="1"/>
    <col min="10" max="10" width="9.5703125" customWidth="1"/>
    <col min="11" max="11" width="11.5703125" customWidth="1"/>
    <col min="12" max="12" width="14" customWidth="1"/>
    <col min="13" max="13" width="12.85546875" customWidth="1"/>
    <col min="14" max="14" width="12.140625" customWidth="1"/>
  </cols>
  <sheetData>
    <row r="1" spans="1:16" s="10" customFormat="1" x14ac:dyDescent="0.25">
      <c r="A1" s="72"/>
      <c r="B1" s="124"/>
      <c r="C1" s="125"/>
      <c r="D1" s="125"/>
      <c r="E1" s="125"/>
      <c r="F1" s="125"/>
      <c r="G1" s="126"/>
      <c r="H1" s="27"/>
      <c r="I1" s="12"/>
      <c r="J1" s="11"/>
      <c r="K1" s="11"/>
      <c r="L1" s="11"/>
      <c r="M1" s="11"/>
    </row>
    <row r="2" spans="1:16" s="10" customFormat="1" x14ac:dyDescent="0.25">
      <c r="A2" s="72"/>
      <c r="B2" s="121"/>
      <c r="C2" s="122"/>
      <c r="D2" s="122"/>
      <c r="E2" s="122"/>
      <c r="F2" s="122"/>
      <c r="G2" s="123"/>
      <c r="H2" s="26"/>
      <c r="I2" s="12"/>
      <c r="J2" s="11"/>
      <c r="K2" s="13"/>
      <c r="L2" s="11"/>
      <c r="M2" s="11"/>
    </row>
    <row r="3" spans="1:16" s="10" customFormat="1" x14ac:dyDescent="0.25">
      <c r="A3" s="72"/>
      <c r="B3" s="118"/>
      <c r="C3" s="119"/>
      <c r="D3" s="119"/>
      <c r="E3" s="119"/>
      <c r="F3" s="119"/>
      <c r="G3" s="120"/>
      <c r="H3" s="11"/>
      <c r="I3" s="12"/>
      <c r="J3" s="11"/>
      <c r="K3" s="4"/>
      <c r="L3" s="11"/>
      <c r="M3" s="11"/>
    </row>
    <row r="4" spans="1:16" s="10" customFormat="1" ht="15.75" thickBot="1" x14ac:dyDescent="0.3">
      <c r="A4" s="72">
        <v>1</v>
      </c>
      <c r="B4" s="142"/>
      <c r="C4" s="143"/>
      <c r="D4" s="143"/>
      <c r="E4" s="143"/>
      <c r="F4" s="143"/>
      <c r="G4" s="144"/>
      <c r="H4" s="86" t="s">
        <v>60</v>
      </c>
      <c r="I4" s="12"/>
      <c r="J4" s="11"/>
      <c r="K4" s="11"/>
      <c r="L4" s="11"/>
      <c r="M4" s="11"/>
    </row>
    <row r="5" spans="1:16" s="10" customFormat="1" x14ac:dyDescent="0.25">
      <c r="B5" s="11"/>
      <c r="C5" s="12"/>
      <c r="D5" s="11"/>
      <c r="E5" s="11"/>
      <c r="F5" s="11"/>
      <c r="G5" s="12"/>
      <c r="H5" s="11"/>
      <c r="I5" s="12"/>
      <c r="J5" s="11"/>
      <c r="K5" s="11"/>
      <c r="L5" s="11"/>
      <c r="M5" s="11"/>
    </row>
    <row r="6" spans="1:16" s="10" customFormat="1" x14ac:dyDescent="0.25">
      <c r="B6" s="11"/>
      <c r="C6" s="12"/>
      <c r="D6" s="11"/>
      <c r="E6" s="11"/>
      <c r="F6" s="18"/>
      <c r="G6" s="67"/>
      <c r="H6" s="18"/>
      <c r="I6" s="67"/>
      <c r="J6" s="18"/>
      <c r="K6" s="18"/>
      <c r="L6" s="18"/>
      <c r="M6" s="11"/>
    </row>
    <row r="7" spans="1:16" s="10" customFormat="1" ht="15.75" thickBot="1" x14ac:dyDescent="0.3">
      <c r="B7" s="11"/>
      <c r="C7" s="12"/>
      <c r="D7" s="11"/>
      <c r="E7" s="11"/>
      <c r="F7" s="11"/>
      <c r="G7" s="12"/>
      <c r="H7" s="11"/>
      <c r="I7" s="12"/>
      <c r="J7" s="11"/>
      <c r="K7" s="11"/>
      <c r="L7" s="11"/>
      <c r="M7" s="11"/>
    </row>
    <row r="8" spans="1:16" s="10" customFormat="1" x14ac:dyDescent="0.25">
      <c r="B8" s="11"/>
      <c r="C8" s="12"/>
      <c r="D8" s="11"/>
      <c r="E8" s="11"/>
      <c r="F8" s="11"/>
      <c r="G8" s="12"/>
      <c r="H8" s="11"/>
      <c r="I8" s="19" t="s">
        <v>26</v>
      </c>
      <c r="J8" s="84">
        <v>100</v>
      </c>
      <c r="K8" s="20" t="s">
        <v>61</v>
      </c>
      <c r="L8" s="21"/>
      <c r="M8" s="11"/>
    </row>
    <row r="9" spans="1:16" s="10" customFormat="1" x14ac:dyDescent="0.25">
      <c r="B9" s="11"/>
      <c r="C9" s="12"/>
      <c r="D9" s="11"/>
      <c r="E9" s="11"/>
      <c r="F9" s="11"/>
      <c r="G9" s="12"/>
      <c r="H9" s="11"/>
      <c r="I9" s="22" t="s">
        <v>27</v>
      </c>
      <c r="J9" s="85">
        <v>1</v>
      </c>
      <c r="K9" s="18" t="str">
        <f>IF(OR(K8="ml",K8="ml (cantidad suficiente para preparar)"),"kg/m3","Kg/t")</f>
        <v>Kg/t</v>
      </c>
      <c r="L9" s="23"/>
      <c r="M9" s="11"/>
    </row>
    <row r="10" spans="1:16" s="10" customFormat="1" ht="15.75" thickBot="1" x14ac:dyDescent="0.3">
      <c r="B10" s="133" t="s">
        <v>33</v>
      </c>
      <c r="C10" s="133"/>
      <c r="D10" s="11"/>
      <c r="E10" s="11"/>
      <c r="F10" s="11"/>
      <c r="G10" s="12"/>
      <c r="H10" s="12"/>
      <c r="I10" s="92" t="s">
        <v>28</v>
      </c>
      <c r="J10" s="97">
        <f>J8*J9</f>
        <v>100</v>
      </c>
      <c r="K10" s="24" t="str">
        <f>IF(OR(K8="ml",K8="ml (cantidad suficiente para preparar)"),"mg/porción","mg/porción")</f>
        <v>mg/porción</v>
      </c>
      <c r="L10" s="25"/>
      <c r="M10" s="11"/>
    </row>
    <row r="11" spans="1:16" s="10" customFormat="1" x14ac:dyDescent="0.25">
      <c r="B11" s="134"/>
      <c r="C11" s="134"/>
      <c r="D11" s="11"/>
      <c r="E11" s="11"/>
      <c r="F11" s="11"/>
      <c r="G11" s="12"/>
      <c r="H11" s="11"/>
      <c r="I11" s="12"/>
      <c r="J11" s="11"/>
      <c r="K11" s="11"/>
      <c r="L11" s="11"/>
      <c r="M11" s="11"/>
    </row>
    <row r="12" spans="1:16" s="1" customFormat="1" ht="51" customHeight="1" x14ac:dyDescent="0.25">
      <c r="A12" s="73">
        <v>0</v>
      </c>
      <c r="B12" s="140" t="s">
        <v>1</v>
      </c>
      <c r="C12" s="136" t="s">
        <v>2</v>
      </c>
      <c r="D12" s="137"/>
      <c r="E12" s="135" t="s">
        <v>0</v>
      </c>
      <c r="F12" s="135"/>
      <c r="G12" s="91" t="s">
        <v>21</v>
      </c>
      <c r="H12" s="131" t="s">
        <v>3</v>
      </c>
      <c r="I12" s="127" t="s">
        <v>22</v>
      </c>
      <c r="J12" s="128"/>
      <c r="K12" s="91" t="s">
        <v>23</v>
      </c>
      <c r="L12" s="91" t="s">
        <v>25</v>
      </c>
      <c r="M12" s="14"/>
      <c r="N12" s="15"/>
      <c r="O12" s="15"/>
      <c r="P12" s="15"/>
    </row>
    <row r="13" spans="1:16" ht="15" customHeight="1" x14ac:dyDescent="0.25">
      <c r="A13" s="73">
        <v>0</v>
      </c>
      <c r="B13" s="141"/>
      <c r="C13" s="138" t="s">
        <v>18</v>
      </c>
      <c r="D13" s="139"/>
      <c r="E13" s="44" t="s">
        <v>19</v>
      </c>
      <c r="F13" s="44" t="s">
        <v>20</v>
      </c>
      <c r="G13" s="45" t="s">
        <v>9</v>
      </c>
      <c r="H13" s="132"/>
      <c r="I13" s="129"/>
      <c r="J13" s="130"/>
      <c r="K13" s="46" t="s">
        <v>4</v>
      </c>
      <c r="L13" s="46" t="s">
        <v>24</v>
      </c>
      <c r="M13" s="11"/>
      <c r="N13" s="10"/>
      <c r="O13" s="10"/>
      <c r="P13" s="10"/>
    </row>
    <row r="14" spans="1:16" x14ac:dyDescent="0.25">
      <c r="A14" s="56">
        <f>IF(H14="",0,1)</f>
        <v>0</v>
      </c>
      <c r="B14" s="57" t="s">
        <v>37</v>
      </c>
      <c r="C14" s="79">
        <f>IF($H$4="Lactante 0-6m",375,IF($H$4="Mujer",500,IF($H$4="Embarazo",800,IF($H$4="Lactancia",850,IF($H$4="Lactante 7-11m",400,IF($H$4="Niño 1-3",400,IF($H$4="Niño 4-6",450,IF($H$4="Niño 7-9",500,IF($H$4="IDR Codex",800,600)))))))))</f>
        <v>600</v>
      </c>
      <c r="D14" s="2" t="s">
        <v>17</v>
      </c>
      <c r="E14" s="52">
        <f>(C14*F14/100)</f>
        <v>0</v>
      </c>
      <c r="F14" s="52"/>
      <c r="G14" s="3" t="s">
        <v>62</v>
      </c>
      <c r="H14" s="2"/>
      <c r="I14" s="94"/>
      <c r="J14" s="2" t="s">
        <v>5</v>
      </c>
      <c r="K14" s="43" t="str">
        <f>IF(I14="","",(E15*(1+G14/100)/I14*1000))</f>
        <v/>
      </c>
      <c r="L14" s="68" t="str">
        <f>IF(K14="","",ROUND((K14*1000/$J$10),2))</f>
        <v/>
      </c>
      <c r="M14" s="16"/>
      <c r="N14" s="10"/>
      <c r="O14" s="10"/>
      <c r="P14" s="10"/>
    </row>
    <row r="15" spans="1:16" x14ac:dyDescent="0.25">
      <c r="A15" s="56">
        <f>A14</f>
        <v>0</v>
      </c>
      <c r="B15" s="40"/>
      <c r="C15" s="81">
        <f>(C14*3.333)</f>
        <v>1999.8000000000002</v>
      </c>
      <c r="D15" s="5" t="s">
        <v>6</v>
      </c>
      <c r="E15" s="53">
        <f>(E14*3.333)</f>
        <v>0</v>
      </c>
      <c r="F15" s="53"/>
      <c r="G15" s="6"/>
      <c r="H15" s="5"/>
      <c r="I15" s="95"/>
      <c r="J15" s="5"/>
      <c r="K15" s="7"/>
      <c r="L15" s="71"/>
      <c r="M15" s="80"/>
      <c r="N15" s="10"/>
      <c r="O15" s="10"/>
      <c r="P15" s="10"/>
    </row>
    <row r="16" spans="1:16" x14ac:dyDescent="0.25">
      <c r="A16" s="56">
        <f>IF(H16="",0,1)</f>
        <v>0</v>
      </c>
      <c r="B16" s="57" t="s">
        <v>38</v>
      </c>
      <c r="C16" s="79">
        <f>IF(OR($H$4="Hombre +65 años",$H$4="Mujer +65 años"),15,5)</f>
        <v>5</v>
      </c>
      <c r="D16" s="51" t="s">
        <v>16</v>
      </c>
      <c r="E16" s="52">
        <f>(C16*F16/100)</f>
        <v>0</v>
      </c>
      <c r="F16" s="52"/>
      <c r="G16" s="3" t="s">
        <v>62</v>
      </c>
      <c r="H16" s="2"/>
      <c r="I16" s="94"/>
      <c r="J16" s="2" t="s">
        <v>5</v>
      </c>
      <c r="K16" s="8" t="str">
        <f>IF(I16="","",(E17*(1+G16/100)/I16*1000))</f>
        <v/>
      </c>
      <c r="L16" s="68" t="str">
        <f>IF(K16="","",ROUND((K16*1000/$J$10),2))</f>
        <v/>
      </c>
      <c r="M16" s="17"/>
      <c r="N16" s="10"/>
      <c r="O16" s="10"/>
      <c r="P16" s="10"/>
    </row>
    <row r="17" spans="1:16" x14ac:dyDescent="0.25">
      <c r="A17" s="56">
        <f>A16</f>
        <v>0</v>
      </c>
      <c r="B17" s="40"/>
      <c r="C17" s="81">
        <f>C16*40</f>
        <v>200</v>
      </c>
      <c r="D17" s="5" t="s">
        <v>6</v>
      </c>
      <c r="E17" s="53">
        <f>(E16*40)</f>
        <v>0</v>
      </c>
      <c r="F17" s="53"/>
      <c r="G17" s="6"/>
      <c r="H17" s="5"/>
      <c r="I17" s="95"/>
      <c r="J17" s="5"/>
      <c r="K17" s="9"/>
      <c r="L17" s="71"/>
      <c r="M17" s="17"/>
      <c r="N17" s="10"/>
      <c r="O17" s="10"/>
      <c r="P17" s="10"/>
    </row>
    <row r="18" spans="1:16" x14ac:dyDescent="0.25">
      <c r="A18" s="56">
        <f>IF(H18="",0,1)</f>
        <v>0</v>
      </c>
      <c r="B18" s="57" t="s">
        <v>39</v>
      </c>
      <c r="C18" s="79">
        <f>IF($H$4="Lactante 0-6m",2.7,IF($H$4="Mujer",7.5,IF($H$4="Embarazo",7.5,IF($H$4="Lactancia",7.5,IF($H$4="Lactante 7-11m",2.7,IF($H$4="Niño 1-3",5,IF($H$4="Niño 4-6",5,IF($H$4="Niño 7-9",7,IF($H$4="Mujer +65 años", 7.5,10)))))))))</f>
        <v>10</v>
      </c>
      <c r="D18" s="2" t="s">
        <v>8</v>
      </c>
      <c r="E18" s="52">
        <f>(C18*F18/100)</f>
        <v>0</v>
      </c>
      <c r="F18" s="52"/>
      <c r="G18" s="3" t="s">
        <v>62</v>
      </c>
      <c r="H18" s="2"/>
      <c r="I18" s="94"/>
      <c r="J18" s="2" t="s">
        <v>7</v>
      </c>
      <c r="K18" s="8" t="str">
        <f>IF(I18="","",(E18*(1+G18/100)/I18*1000))</f>
        <v/>
      </c>
      <c r="L18" s="68" t="str">
        <f>IF(K18="","",ROUND((K18*1000/$J$10),2))</f>
        <v/>
      </c>
      <c r="M18" s="17"/>
      <c r="N18" s="10"/>
      <c r="O18" s="10"/>
      <c r="P18" s="10"/>
    </row>
    <row r="19" spans="1:16" x14ac:dyDescent="0.25">
      <c r="A19" s="56">
        <f>A18</f>
        <v>0</v>
      </c>
      <c r="B19" s="40"/>
      <c r="C19" s="81"/>
      <c r="D19" s="5"/>
      <c r="E19" s="53"/>
      <c r="F19" s="53"/>
      <c r="G19" s="6"/>
      <c r="H19" s="5"/>
      <c r="I19" s="95"/>
      <c r="J19" s="5"/>
      <c r="K19" s="9"/>
      <c r="L19" s="71"/>
      <c r="M19" s="17"/>
      <c r="N19" s="10"/>
      <c r="O19" s="10"/>
      <c r="P19" s="10"/>
    </row>
    <row r="20" spans="1:16" s="32" customFormat="1" ht="30" customHeight="1" x14ac:dyDescent="0.25">
      <c r="A20" s="56">
        <f>IF(H20="",0,1)</f>
        <v>0</v>
      </c>
      <c r="B20" s="58" t="s">
        <v>40</v>
      </c>
      <c r="C20" s="82">
        <f>IF($H$4="Lactante 0-6m",5,IF($H$4="Mujer",55,IF($H$4="Embarazo",55,IF($H$4="Lactancia",55,IF($H$4="Lactante 7-11m",10,IF($H$4="Niño 1-3",15,IF($H$4="Niño 4-6",20,IF($H$4="Niño 7-9",25,IF($H$4="Mujer +65 años", 55,IF($H$4="IDR Codex",60,65))))))))))</f>
        <v>65</v>
      </c>
      <c r="D20" s="49" t="s">
        <v>16</v>
      </c>
      <c r="E20" s="54">
        <f t="shared" ref="E20:E51" si="0">(C20*F20/100)</f>
        <v>0</v>
      </c>
      <c r="F20" s="54"/>
      <c r="G20" s="48" t="s">
        <v>62</v>
      </c>
      <c r="H20" s="47"/>
      <c r="I20" s="96"/>
      <c r="J20" s="47" t="s">
        <v>7</v>
      </c>
      <c r="K20" s="50" t="str">
        <f>IF(I20="","",(E20*(1+G20/100)/I20*1000)/1000)</f>
        <v/>
      </c>
      <c r="L20" s="69" t="str">
        <f t="shared" ref="L20:L83" si="1">IF(K20="","",ROUND((K20*1000/$J$10),2))</f>
        <v/>
      </c>
      <c r="M20" s="35"/>
      <c r="N20" s="31"/>
      <c r="O20" s="31"/>
      <c r="P20" s="31"/>
    </row>
    <row r="21" spans="1:16" s="32" customFormat="1" ht="30" customHeight="1" x14ac:dyDescent="0.25">
      <c r="A21" s="56">
        <f t="shared" ref="A21:A84" si="2">IF(H21="",0,1)</f>
        <v>0</v>
      </c>
      <c r="B21" s="59" t="s">
        <v>41</v>
      </c>
      <c r="C21" s="83">
        <f>IF($H$4="Lactante 0-6m",0.2,IF($H$4="Mujer",1.1,IF($H$4="Embarazo",1.4,IF($H$4="Lactancia",1.5,IF($H$4="Lactante 7-11m",0.3,IF($H$4="Niño 1-3",0.5,IF($H$4="Niño 4-6",0.6,IF($H$4="Niño 7-9",0.9,IF($H$4="Mujer +65 años", 1.1,1.2)))))))))</f>
        <v>1.2</v>
      </c>
      <c r="D21" s="30" t="s">
        <v>8</v>
      </c>
      <c r="E21" s="54">
        <f t="shared" si="0"/>
        <v>0</v>
      </c>
      <c r="F21" s="55"/>
      <c r="G21" s="29" t="s">
        <v>62</v>
      </c>
      <c r="H21" s="30"/>
      <c r="I21" s="93"/>
      <c r="J21" s="30" t="s">
        <v>9</v>
      </c>
      <c r="K21" s="75" t="str">
        <f t="shared" ref="K21:K26" si="3">IF(I21="","",(E21*(G21/100+1)/I21*100))</f>
        <v/>
      </c>
      <c r="L21" s="68" t="str">
        <f t="shared" si="1"/>
        <v/>
      </c>
      <c r="M21" s="35"/>
      <c r="N21" s="31"/>
      <c r="O21" s="31"/>
      <c r="P21" s="31"/>
    </row>
    <row r="22" spans="1:16" s="32" customFormat="1" ht="30" customHeight="1" x14ac:dyDescent="0.25">
      <c r="A22" s="56">
        <f t="shared" si="2"/>
        <v>0</v>
      </c>
      <c r="B22" s="59" t="s">
        <v>42</v>
      </c>
      <c r="C22" s="83">
        <f>IF($H$4="Lactante 0-6m",0.3,IF($H$4="Mujer",1.1,IF($H$4="Embarazo",1.4,IF($H$4="Lactancia",1.6,IF($H$4="Lactante 7-11m",0.4,IF($H$4="Niño 1-3",0.5,IF($H$4="Niño 4-6",0.6,IF($H$4="Niño 7-9",0.9,IF($H$4="Mujer +65 años", 1.1,IF($H$4="IDR Codex",1.2,1.3))))))))))</f>
        <v>1.3</v>
      </c>
      <c r="D22" s="30" t="s">
        <v>8</v>
      </c>
      <c r="E22" s="55">
        <f t="shared" si="0"/>
        <v>0</v>
      </c>
      <c r="F22" s="55"/>
      <c r="G22" s="29" t="s">
        <v>62</v>
      </c>
      <c r="H22" s="30"/>
      <c r="I22" s="93"/>
      <c r="J22" s="30" t="s">
        <v>9</v>
      </c>
      <c r="K22" s="75" t="str">
        <f t="shared" si="3"/>
        <v/>
      </c>
      <c r="L22" s="68" t="str">
        <f t="shared" si="1"/>
        <v/>
      </c>
      <c r="M22" s="36"/>
      <c r="N22" s="31"/>
      <c r="O22" s="31"/>
      <c r="P22" s="31"/>
    </row>
    <row r="23" spans="1:16" s="32" customFormat="1" ht="30" customHeight="1" x14ac:dyDescent="0.25">
      <c r="A23" s="56">
        <f t="shared" si="2"/>
        <v>0</v>
      </c>
      <c r="B23" s="59" t="s">
        <v>43</v>
      </c>
      <c r="C23" s="83">
        <f>IF($H$4="Lactante 0-6m",0.1,IF($H$4="Mujer",1.3,IF($H$4="Embarazo",1.9,IF($H$4="Lactancia",2,IF($H$4="Lactante 7-11m",0.3,IF($H$4="Niño 1-3",0.5,IF($H$4="Niño 4-6",0.6,IF($H$4="Niño 7-9",1,IF($H$4="Mujer +65 años", 1.5,IF($H$4="Hombre +65 años",1.7,1.3))))))))))</f>
        <v>1.3</v>
      </c>
      <c r="D23" s="30" t="s">
        <v>8</v>
      </c>
      <c r="E23" s="55">
        <f t="shared" si="0"/>
        <v>0</v>
      </c>
      <c r="F23" s="55"/>
      <c r="G23" s="29" t="s">
        <v>62</v>
      </c>
      <c r="H23" s="30"/>
      <c r="I23" s="93"/>
      <c r="J23" s="30" t="s">
        <v>9</v>
      </c>
      <c r="K23" s="75" t="str">
        <f t="shared" si="3"/>
        <v/>
      </c>
      <c r="L23" s="68" t="str">
        <f t="shared" si="1"/>
        <v/>
      </c>
      <c r="M23" s="36"/>
      <c r="N23" s="31"/>
      <c r="O23" s="31"/>
      <c r="P23" s="31"/>
    </row>
    <row r="24" spans="1:16" s="32" customFormat="1" ht="30" customHeight="1" x14ac:dyDescent="0.25">
      <c r="A24" s="56">
        <f t="shared" si="2"/>
        <v>0</v>
      </c>
      <c r="B24" s="59" t="s">
        <v>44</v>
      </c>
      <c r="C24" s="83">
        <f>IF($H$4="Lactante 0-6m",25,IF($H$4="Mujer",45,IF($H$4="Embarazo",55,IF($H$4="Lactancia",70,IF($H$4="Lactante 7-11m",30,IF($H$4="Niño 1-3",30,IF($H$4="Niño 4-6",30,IF($H$4="Niño 7-9",35,IF($H$4="Mujer +65 años", 45,IF($H$4="Hombre +65 años",45,IF($H$4="IDR Codex",60,45)))))))))))</f>
        <v>45</v>
      </c>
      <c r="D24" s="30" t="s">
        <v>8</v>
      </c>
      <c r="E24" s="55">
        <f t="shared" si="0"/>
        <v>0</v>
      </c>
      <c r="F24" s="55"/>
      <c r="G24" s="29" t="s">
        <v>62</v>
      </c>
      <c r="H24" s="30"/>
      <c r="I24" s="93"/>
      <c r="J24" s="30" t="s">
        <v>9</v>
      </c>
      <c r="K24" s="33" t="str">
        <f t="shared" si="3"/>
        <v/>
      </c>
      <c r="L24" s="68" t="str">
        <f t="shared" si="1"/>
        <v/>
      </c>
      <c r="M24" s="36"/>
      <c r="N24" s="31"/>
      <c r="O24" s="31"/>
      <c r="P24" s="31"/>
    </row>
    <row r="25" spans="1:16" s="32" customFormat="1" ht="30" customHeight="1" x14ac:dyDescent="0.25">
      <c r="A25" s="56">
        <f t="shared" si="2"/>
        <v>0</v>
      </c>
      <c r="B25" s="59" t="s">
        <v>14</v>
      </c>
      <c r="C25" s="83">
        <f>IF($H$4="Lactante 0-6m",1.7,IF($H$4="Mujer",5,IF($H$4="Embarazo",6,IF($H$4="Lactancia",7,IF($H$4="Lactante 7-11m",1.8,IF($H$4="Niño 1-3",2,IF($H$4="Niño 4-6",3,IF($H$4="Niño 7-9",4,5))))))))</f>
        <v>5</v>
      </c>
      <c r="D25" s="30" t="s">
        <v>8</v>
      </c>
      <c r="E25" s="55">
        <f t="shared" si="0"/>
        <v>0</v>
      </c>
      <c r="F25" s="55"/>
      <c r="G25" s="29" t="s">
        <v>62</v>
      </c>
      <c r="H25" s="30"/>
      <c r="I25" s="93"/>
      <c r="J25" s="30" t="s">
        <v>9</v>
      </c>
      <c r="K25" s="75" t="str">
        <f t="shared" si="3"/>
        <v/>
      </c>
      <c r="L25" s="68" t="str">
        <f t="shared" si="1"/>
        <v/>
      </c>
      <c r="M25" s="36"/>
      <c r="N25" s="31"/>
      <c r="O25" s="31"/>
      <c r="P25" s="31"/>
    </row>
    <row r="26" spans="1:16" s="32" customFormat="1" ht="30" customHeight="1" x14ac:dyDescent="0.25">
      <c r="A26" s="56">
        <f t="shared" si="2"/>
        <v>0</v>
      </c>
      <c r="B26" s="59" t="s">
        <v>45</v>
      </c>
      <c r="C26" s="83">
        <f>IF($H$4="Lactante 0-6m",2,IF($H$4="Mujer",14,IF($H$4="Embarazo",18,IF($H$4="Lactancia",17,IF($H$4="Lactante 7-11m",4,IF($H$4="Niño 1-3",6,IF($H$4="Niño 4-6",8,IF($H$4="Niño 7-9",12,IF($H$4="IDR Codex",15,16)))))))))</f>
        <v>16</v>
      </c>
      <c r="D26" s="30" t="s">
        <v>8</v>
      </c>
      <c r="E26" s="55">
        <f t="shared" si="0"/>
        <v>0</v>
      </c>
      <c r="F26" s="55"/>
      <c r="G26" s="29" t="s">
        <v>62</v>
      </c>
      <c r="H26" s="30"/>
      <c r="I26" s="93"/>
      <c r="J26" s="30" t="s">
        <v>9</v>
      </c>
      <c r="K26" s="75" t="str">
        <f t="shared" si="3"/>
        <v/>
      </c>
      <c r="L26" s="68" t="str">
        <f>IF(K26="","",ROUND((K26*1000/$J$10),2))</f>
        <v/>
      </c>
      <c r="M26" s="36"/>
      <c r="N26" s="31"/>
      <c r="O26" s="31"/>
      <c r="P26" s="31"/>
    </row>
    <row r="27" spans="1:16" s="32" customFormat="1" ht="30" customHeight="1" x14ac:dyDescent="0.25">
      <c r="A27" s="56">
        <f t="shared" si="2"/>
        <v>0</v>
      </c>
      <c r="B27" s="59" t="s">
        <v>10</v>
      </c>
      <c r="C27" s="83">
        <f>IF($H$4="Lactante 0-6m",48,IF($H$4="Mujer",240,IF($H$4="Embarazo",360,IF($H$4="Lactancia",300,IF($H$4="Lactante 7-11m",48,IF($H$4="Niño 1-3",96,IF($H$4="Niño 4-6",120,IF($H$4="Niño 7-9",180,IF($H$4="IDR Codex",200,240)))))))))</f>
        <v>240</v>
      </c>
      <c r="D27" s="34" t="s">
        <v>16</v>
      </c>
      <c r="E27" s="55">
        <f t="shared" si="0"/>
        <v>0</v>
      </c>
      <c r="F27" s="55"/>
      <c r="G27" s="29" t="s">
        <v>62</v>
      </c>
      <c r="H27" s="30"/>
      <c r="I27" s="93"/>
      <c r="J27" s="30" t="s">
        <v>9</v>
      </c>
      <c r="K27" s="75" t="str">
        <f>IF(I27="","",(E27*(G27/100+1)/I27*100)/1000)</f>
        <v/>
      </c>
      <c r="L27" s="68" t="str">
        <f t="shared" si="1"/>
        <v/>
      </c>
      <c r="M27" s="36"/>
      <c r="N27" s="31"/>
      <c r="O27" s="31"/>
      <c r="P27" s="31"/>
    </row>
    <row r="28" spans="1:16" s="32" customFormat="1" ht="30" customHeight="1" x14ac:dyDescent="0.25">
      <c r="A28" s="56">
        <f t="shared" si="2"/>
        <v>0</v>
      </c>
      <c r="B28" s="59" t="s">
        <v>11</v>
      </c>
      <c r="C28" s="83">
        <f>IF($H$4="Lactante 0-6m",5,IF($H$4="Mujer",30,IF($H$4="Embarazo",30,IF($H$4="Lactancia",35,IF($H$4="Lactante 7-11m",6,IF($H$4="Niño 1-3",8,IF($H$4="Niño 4-6",12,IF($H$4="Niño 7-9",20,30))))))))</f>
        <v>30</v>
      </c>
      <c r="D28" s="34" t="s">
        <v>16</v>
      </c>
      <c r="E28" s="55">
        <f t="shared" si="0"/>
        <v>0</v>
      </c>
      <c r="F28" s="55"/>
      <c r="G28" s="29" t="s">
        <v>62</v>
      </c>
      <c r="H28" s="30"/>
      <c r="I28" s="93"/>
      <c r="J28" s="30" t="s">
        <v>9</v>
      </c>
      <c r="K28" s="75" t="str">
        <f>IF(I28="","",(E28*(G28/100+1)/I28*100)/1000)</f>
        <v/>
      </c>
      <c r="L28" s="68" t="str">
        <f t="shared" si="1"/>
        <v/>
      </c>
      <c r="M28" s="36"/>
      <c r="N28" s="31"/>
      <c r="O28" s="31"/>
      <c r="P28" s="31"/>
    </row>
    <row r="29" spans="1:16" s="32" customFormat="1" ht="30" customHeight="1" x14ac:dyDescent="0.25">
      <c r="A29" s="56">
        <f t="shared" si="2"/>
        <v>0</v>
      </c>
      <c r="B29" s="59" t="s">
        <v>46</v>
      </c>
      <c r="C29" s="83">
        <f>IF($H$4="Lactante 0-6m",0.4,IF($H$4="Mujer",2.4,IF($H$4="Embarazo",2.6,IF($H$4="Lactancia",2.8,IF($H$4="Lactante 7-11m",0.5,IF($H$4="Niño 1-3",0.9,IF($H$4="Niño 4-6",1.2,IF($H$4="Niño 7-9",1.8,2.4))))))))</f>
        <v>2.4</v>
      </c>
      <c r="D29" s="34" t="s">
        <v>16</v>
      </c>
      <c r="E29" s="55">
        <f t="shared" si="0"/>
        <v>0</v>
      </c>
      <c r="F29" s="55"/>
      <c r="G29" s="29" t="s">
        <v>62</v>
      </c>
      <c r="H29" s="30"/>
      <c r="I29" s="93"/>
      <c r="J29" s="30" t="s">
        <v>9</v>
      </c>
      <c r="K29" s="75" t="str">
        <f>IF(I29="","",(E29*(G29/100+1)/I29*100)/1000)</f>
        <v/>
      </c>
      <c r="L29" s="68" t="str">
        <f t="shared" si="1"/>
        <v/>
      </c>
      <c r="M29" s="36"/>
      <c r="N29" s="31"/>
      <c r="O29" s="31"/>
      <c r="P29" s="31"/>
    </row>
    <row r="30" spans="1:16" s="32" customFormat="1" ht="30" customHeight="1" x14ac:dyDescent="0.25">
      <c r="A30" s="56">
        <f t="shared" si="2"/>
        <v>0</v>
      </c>
      <c r="B30" s="59" t="s">
        <v>12</v>
      </c>
      <c r="C30" s="83">
        <v>1500</v>
      </c>
      <c r="D30" s="30" t="s">
        <v>8</v>
      </c>
      <c r="E30" s="55">
        <f t="shared" si="0"/>
        <v>0</v>
      </c>
      <c r="F30" s="55"/>
      <c r="G30" s="29">
        <v>10</v>
      </c>
      <c r="H30" s="30"/>
      <c r="I30" s="93"/>
      <c r="J30" s="30" t="s">
        <v>9</v>
      </c>
      <c r="K30" s="75" t="str">
        <f t="shared" ref="K30:K35" si="4">IF(I30="","",(E30*(G30/100+1)/I30*100))</f>
        <v/>
      </c>
      <c r="L30" s="68" t="str">
        <f t="shared" si="1"/>
        <v/>
      </c>
      <c r="M30" s="36"/>
      <c r="N30" s="31"/>
      <c r="O30" s="31"/>
      <c r="P30" s="31"/>
    </row>
    <row r="31" spans="1:16" s="32" customFormat="1" ht="30" customHeight="1" x14ac:dyDescent="0.25">
      <c r="A31" s="56">
        <f t="shared" si="2"/>
        <v>0</v>
      </c>
      <c r="B31" s="59" t="s">
        <v>15</v>
      </c>
      <c r="C31" s="83">
        <f>IF($H$4="Lactante 0-6m",125,IF($H$4="Mujer",425,IF($H$4="Embarazo",450,IF($H$4="Lactancia",550,IF($H$4="Lactante 7-11m",150,IF($H$4="Niño 1-3",200,IF($H$4="Niño 4-6",250,IF($H$4="Niño 7-9",250,550))))))))</f>
        <v>550</v>
      </c>
      <c r="D31" s="30" t="s">
        <v>8</v>
      </c>
      <c r="E31" s="55">
        <f t="shared" si="0"/>
        <v>0</v>
      </c>
      <c r="F31" s="55"/>
      <c r="G31" s="29">
        <v>10</v>
      </c>
      <c r="H31" s="30"/>
      <c r="I31" s="93"/>
      <c r="J31" s="30" t="s">
        <v>9</v>
      </c>
      <c r="K31" s="75" t="str">
        <f t="shared" si="4"/>
        <v/>
      </c>
      <c r="L31" s="68" t="str">
        <f t="shared" si="1"/>
        <v/>
      </c>
      <c r="M31" s="36"/>
      <c r="N31" s="31"/>
      <c r="O31" s="31"/>
      <c r="P31" s="31"/>
    </row>
    <row r="32" spans="1:16" s="32" customFormat="1" ht="30" customHeight="1" x14ac:dyDescent="0.25">
      <c r="A32" s="56">
        <f t="shared" si="2"/>
        <v>0</v>
      </c>
      <c r="B32" s="59" t="s">
        <v>47</v>
      </c>
      <c r="C32" s="83">
        <f>IF($H$4="Lactante 0-6m",0.27,IF($H$4="Mujer",29,IF($H$4="Embarazo",27,IF($H$4="Lactancia",15,IF($H$4="Lactante 7-11m",9,IF($H$4="Niño 1-3",6,IF($H$4="Niño 4-6",6,IF($H$4="Niño 7-9",9,IF($H$4="Mujer +65 años", 11,14)))))))))</f>
        <v>14</v>
      </c>
      <c r="D32" s="30" t="s">
        <v>8</v>
      </c>
      <c r="E32" s="55">
        <f t="shared" si="0"/>
        <v>0</v>
      </c>
      <c r="F32" s="55"/>
      <c r="G32" s="29">
        <v>0</v>
      </c>
      <c r="H32" s="30"/>
      <c r="I32" s="93"/>
      <c r="J32" s="30" t="s">
        <v>9</v>
      </c>
      <c r="K32" s="75" t="str">
        <f t="shared" si="4"/>
        <v/>
      </c>
      <c r="L32" s="68" t="str">
        <f t="shared" si="1"/>
        <v/>
      </c>
      <c r="M32" s="36"/>
      <c r="N32" s="31"/>
      <c r="O32" s="31"/>
      <c r="P32" s="31"/>
    </row>
    <row r="33" spans="1:16" s="32" customFormat="1" ht="30" customHeight="1" x14ac:dyDescent="0.25">
      <c r="A33" s="56">
        <f t="shared" si="2"/>
        <v>0</v>
      </c>
      <c r="B33" s="59" t="s">
        <v>34</v>
      </c>
      <c r="C33" s="83">
        <f>IF($H$4="Lactante 0-6m",400,IF($H$4="Mujer",1000,IF($H$4="Embarazo",1200,IF($H$4="Lactancia",1000,IF($H$4="Lactante 7-11m",400,IF($H$4="Niño 1-3",500,IF($H$4="Niño 4-6",600,IF($H$4="Niño 7-9",700,IF($H$4="Mujer +65 años", 1300,IF($H$4="Hombre +65 años",1300,1000))))))))))</f>
        <v>1000</v>
      </c>
      <c r="D33" s="30" t="s">
        <v>8</v>
      </c>
      <c r="E33" s="88">
        <f t="shared" si="0"/>
        <v>0</v>
      </c>
      <c r="F33" s="55"/>
      <c r="G33" s="29">
        <v>0</v>
      </c>
      <c r="H33" s="30"/>
      <c r="I33" s="93"/>
      <c r="J33" s="30" t="s">
        <v>9</v>
      </c>
      <c r="K33" s="75" t="str">
        <f t="shared" si="4"/>
        <v/>
      </c>
      <c r="L33" s="68" t="str">
        <f t="shared" si="1"/>
        <v/>
      </c>
      <c r="M33" s="36"/>
      <c r="N33" s="31"/>
      <c r="O33" s="31"/>
      <c r="P33" s="31"/>
    </row>
    <row r="34" spans="1:16" s="32" customFormat="1" ht="30" customHeight="1" x14ac:dyDescent="0.25">
      <c r="A34" s="56">
        <f t="shared" si="2"/>
        <v>0</v>
      </c>
      <c r="B34" s="59" t="s">
        <v>63</v>
      </c>
      <c r="C34" s="83">
        <f>IF($H$4="Lactante 0-6m",100,IF($H$4="Mujer",700,IF($H$4="Embarazo",1250,IF($H$4="Lactancia",1250,IF($H$4="Lactante 7-11m",275,IF($H$4="Niño 1-3",460,IF($H$4="Niño 4-6",500,IF($H$4="Niño 7-9",500,IF($H$4="Mujer +65 años", 700,700)))))))))</f>
        <v>700</v>
      </c>
      <c r="D34" s="30" t="s">
        <v>8</v>
      </c>
      <c r="E34" s="55">
        <f t="shared" si="0"/>
        <v>0</v>
      </c>
      <c r="F34" s="55"/>
      <c r="G34" s="29">
        <v>0</v>
      </c>
      <c r="H34" s="30"/>
      <c r="I34" s="93"/>
      <c r="J34" s="30" t="s">
        <v>9</v>
      </c>
      <c r="K34" s="75" t="str">
        <f t="shared" si="4"/>
        <v/>
      </c>
      <c r="L34" s="68" t="str">
        <f t="shared" si="1"/>
        <v/>
      </c>
      <c r="M34" s="36"/>
      <c r="N34" s="31"/>
      <c r="O34" s="31"/>
      <c r="P34" s="31"/>
    </row>
    <row r="35" spans="1:16" s="32" customFormat="1" ht="30" customHeight="1" x14ac:dyDescent="0.25">
      <c r="A35" s="56">
        <f t="shared" si="2"/>
        <v>0</v>
      </c>
      <c r="B35" s="59" t="s">
        <v>48</v>
      </c>
      <c r="C35" s="83">
        <v>1100</v>
      </c>
      <c r="D35" s="30" t="s">
        <v>8</v>
      </c>
      <c r="E35" s="55">
        <f t="shared" si="0"/>
        <v>0</v>
      </c>
      <c r="F35" s="55"/>
      <c r="G35" s="29">
        <v>0</v>
      </c>
      <c r="H35" s="30"/>
      <c r="I35" s="93"/>
      <c r="J35" s="30" t="s">
        <v>9</v>
      </c>
      <c r="K35" s="75" t="str">
        <f t="shared" si="4"/>
        <v/>
      </c>
      <c r="L35" s="68" t="str">
        <f t="shared" si="1"/>
        <v/>
      </c>
      <c r="M35" s="36"/>
      <c r="N35" s="31"/>
      <c r="O35" s="31"/>
      <c r="P35" s="31"/>
    </row>
    <row r="36" spans="1:16" s="32" customFormat="1" ht="30" customHeight="1" x14ac:dyDescent="0.25">
      <c r="A36" s="56">
        <f t="shared" si="2"/>
        <v>0</v>
      </c>
      <c r="B36" s="59" t="s">
        <v>49</v>
      </c>
      <c r="C36" s="83">
        <f>IF($H$4="Lactante 0-6m",200,IF($H$4="Mujer",29,IF($H$4="Embarazo",1000,IF($H$4="Lactancia",1300,IF($H$4="Lactante 7-11m",220,IF($H$4="Niño 1-3",340,IF($H$4="Niño 4-6",440,IF($H$4="Niño 7-9",440,IF($H$4="Mujer +65 años", 900,900)))))))))</f>
        <v>900</v>
      </c>
      <c r="D36" s="34" t="s">
        <v>16</v>
      </c>
      <c r="E36" s="55">
        <f t="shared" si="0"/>
        <v>0</v>
      </c>
      <c r="F36" s="55"/>
      <c r="G36" s="29">
        <v>0</v>
      </c>
      <c r="H36" s="30"/>
      <c r="I36" s="93"/>
      <c r="J36" s="30" t="s">
        <v>9</v>
      </c>
      <c r="K36" s="75" t="str">
        <f>IF(I36="","",(E36*(G36/100+1)/I36*100)/1000)</f>
        <v/>
      </c>
      <c r="L36" s="68" t="str">
        <f t="shared" si="1"/>
        <v/>
      </c>
      <c r="M36" s="36"/>
      <c r="N36" s="31"/>
      <c r="O36" s="31"/>
      <c r="P36" s="31"/>
    </row>
    <row r="37" spans="1:16" s="32" customFormat="1" ht="30" customHeight="1" x14ac:dyDescent="0.25">
      <c r="A37" s="56">
        <f t="shared" si="2"/>
        <v>0</v>
      </c>
      <c r="B37" s="59" t="s">
        <v>50</v>
      </c>
      <c r="C37" s="83">
        <f>IF($H$4="Lactante 0-6m",0.2,IF($H$4="Mujer",25,IF($H$4="Embarazo",30,IF($H$4="Lactancia",45,IF($H$4="Lactante 7-11m",5.5,IF($H$4="Niño 1-3",11,IF($H$4="Niño 4-6",15,IF($H$4="Niño 7-9",15,IF($H$4="Mujer +65 años", 20,IF($H$4="Hombre +65 años",30,35))))))))))</f>
        <v>35</v>
      </c>
      <c r="D37" s="34" t="s">
        <v>16</v>
      </c>
      <c r="E37" s="55">
        <f t="shared" si="0"/>
        <v>0</v>
      </c>
      <c r="F37" s="55"/>
      <c r="G37" s="29">
        <v>0</v>
      </c>
      <c r="H37" s="30"/>
      <c r="I37" s="93"/>
      <c r="J37" s="30" t="s">
        <v>9</v>
      </c>
      <c r="K37" s="75" t="str">
        <f>IF(I37="","",(E37*(G37/100+1)/I37*100)/1000)</f>
        <v/>
      </c>
      <c r="L37" s="68" t="str">
        <f t="shared" si="1"/>
        <v/>
      </c>
      <c r="M37" s="36"/>
      <c r="N37" s="31"/>
      <c r="O37" s="31"/>
      <c r="P37" s="31"/>
    </row>
    <row r="38" spans="1:16" s="32" customFormat="1" ht="30" customHeight="1" x14ac:dyDescent="0.25">
      <c r="A38" s="56">
        <f t="shared" si="2"/>
        <v>0</v>
      </c>
      <c r="B38" s="59" t="s">
        <v>51</v>
      </c>
      <c r="C38" s="83">
        <f>IF($H$4="Lactante 0-6m",0.01,IF($H$4="Mujer",3,IF($H$4="Embarazo",3,IF($H$4="Lactancia",3,IF($H$4="Lactante 7-11m",0.5,IF($H$4="Niño 1-3",0.7,IF($H$4="Niño 4-6",1,IF($H$4="Niño 7-9",2,IF($H$4="Mujer +65 años", 3,4)))))))))</f>
        <v>4</v>
      </c>
      <c r="D38" s="30" t="s">
        <v>8</v>
      </c>
      <c r="E38" s="55">
        <f t="shared" si="0"/>
        <v>0</v>
      </c>
      <c r="F38" s="55"/>
      <c r="G38" s="29">
        <v>0</v>
      </c>
      <c r="H38" s="30"/>
      <c r="I38" s="93"/>
      <c r="J38" s="30" t="s">
        <v>9</v>
      </c>
      <c r="K38" s="75" t="str">
        <f>IF(I38="","",(E38*(G38/100+1)/I38*100))</f>
        <v/>
      </c>
      <c r="L38" s="68" t="str">
        <f t="shared" si="1"/>
        <v/>
      </c>
      <c r="M38" s="36"/>
      <c r="N38" s="31"/>
      <c r="O38" s="31"/>
      <c r="P38" s="31"/>
    </row>
    <row r="39" spans="1:16" s="32" customFormat="1" ht="30" customHeight="1" x14ac:dyDescent="0.25">
      <c r="A39" s="56">
        <f t="shared" si="2"/>
        <v>0</v>
      </c>
      <c r="B39" s="59" t="s">
        <v>52</v>
      </c>
      <c r="C39" s="83">
        <f>IF($H$4="Lactante 0-6m",90,IF($H$4="Mujer",110,IF($H$4="Embarazo",200,IF($H$4="Lactancia",200,IF($H$4="Lactante 7-11m",135,IF($H$4="Niño 1-3",75,IF($H$4="Niño 4-6",110,IF($H$4="Niño 7-9",110,IF($H$4="IDR Codex",150,130)))))))))</f>
        <v>130</v>
      </c>
      <c r="D39" s="34" t="s">
        <v>16</v>
      </c>
      <c r="E39" s="55">
        <f t="shared" si="0"/>
        <v>0</v>
      </c>
      <c r="F39" s="55"/>
      <c r="G39" s="29">
        <v>0</v>
      </c>
      <c r="H39" s="30"/>
      <c r="I39" s="93"/>
      <c r="J39" s="30" t="s">
        <v>9</v>
      </c>
      <c r="K39" s="75" t="str">
        <f>IF(I39="","",(E39*(G39/100+1)/I39*100)/1000)</f>
        <v/>
      </c>
      <c r="L39" s="68" t="str">
        <f t="shared" si="1"/>
        <v/>
      </c>
      <c r="M39" s="36"/>
      <c r="N39" s="31"/>
      <c r="O39" s="31"/>
      <c r="P39" s="31"/>
    </row>
    <row r="40" spans="1:16" s="32" customFormat="1" ht="30" customHeight="1" x14ac:dyDescent="0.25">
      <c r="A40" s="56">
        <f t="shared" si="2"/>
        <v>0</v>
      </c>
      <c r="B40" s="59" t="s">
        <v>53</v>
      </c>
      <c r="C40" s="83">
        <f>IF($H$4="Lactante 0-6m",36,IF($H$4="Mujer",220,IF($H$4="Embarazo",220,IF($H$4="Lactancia",270,IF($H$4="Lactante 7-11m",53,IF($H$4="Niño 1-3",60,IF($H$4="Niño 4-6",73,IF($H$4="Niño 7-9",100,IF($H$4="Mujer +65 años", 190,IF($H$4="Hombre +65 años",230,IF($H$4="IDR Codex",300,260)))))))))))</f>
        <v>260</v>
      </c>
      <c r="D40" s="30" t="s">
        <v>8</v>
      </c>
      <c r="E40" s="55">
        <f t="shared" si="0"/>
        <v>0</v>
      </c>
      <c r="F40" s="55"/>
      <c r="G40" s="29">
        <v>0</v>
      </c>
      <c r="H40" s="30"/>
      <c r="I40" s="93"/>
      <c r="J40" s="30" t="s">
        <v>9</v>
      </c>
      <c r="K40" s="75" t="str">
        <f>IF(I40="","",(E40*(G40/100+1)/I40*100))</f>
        <v/>
      </c>
      <c r="L40" s="68" t="str">
        <f t="shared" si="1"/>
        <v/>
      </c>
      <c r="M40" s="36"/>
      <c r="N40" s="31"/>
      <c r="O40" s="31"/>
      <c r="P40" s="31"/>
    </row>
    <row r="41" spans="1:16" s="32" customFormat="1" ht="30" customHeight="1" x14ac:dyDescent="0.25">
      <c r="A41" s="56">
        <f t="shared" si="2"/>
        <v>0</v>
      </c>
      <c r="B41" s="59" t="s">
        <v>54</v>
      </c>
      <c r="C41" s="83">
        <f>IF($H$4="Lactante 0-6m",0.003,IF($H$4="Mujer",1.8,IF($H$4="Embarazo",2,IF($H$4="Lactancia",2.6,IF($H$4="Lactante 7-11m",0.6,IF($H$4="Niño 1-3",1.2,IF($H$4="Niño 4-6",1.5,IF($H$4="Niño 7-9",1.5,2.3))))))))</f>
        <v>2.2999999999999998</v>
      </c>
      <c r="D41" s="30" t="s">
        <v>8</v>
      </c>
      <c r="E41" s="87">
        <f t="shared" si="0"/>
        <v>0</v>
      </c>
      <c r="F41" s="55"/>
      <c r="G41" s="29">
        <v>0</v>
      </c>
      <c r="H41" s="30"/>
      <c r="I41" s="93"/>
      <c r="J41" s="30" t="s">
        <v>9</v>
      </c>
      <c r="K41" s="75" t="str">
        <f>IF(I41="","",(E41*(G41/100+1)/I41*100))</f>
        <v/>
      </c>
      <c r="L41" s="68" t="str">
        <f t="shared" si="1"/>
        <v/>
      </c>
      <c r="M41" s="36"/>
      <c r="N41" s="31"/>
      <c r="O41" s="31"/>
      <c r="P41" s="31"/>
    </row>
    <row r="42" spans="1:16" s="32" customFormat="1" ht="30" customHeight="1" x14ac:dyDescent="0.25">
      <c r="A42" s="56">
        <f t="shared" si="2"/>
        <v>0</v>
      </c>
      <c r="B42" s="59" t="s">
        <v>55</v>
      </c>
      <c r="C42" s="83">
        <f>IF($H$4="Lactante 0-6m",2,IF($H$4="Mujer",45,IF($H$4="Embarazo",50,IF($H$4="Lactancia",50,IF($H$4="Lactante 7-11m",3,IF($H$4="Niño 1-3",17,IF($H$4="Niño 4-6",22,IF($H$4="Niño 7-9",22,45))))))))</f>
        <v>45</v>
      </c>
      <c r="D42" s="34" t="s">
        <v>16</v>
      </c>
      <c r="E42" s="87">
        <f t="shared" si="0"/>
        <v>0</v>
      </c>
      <c r="F42" s="55"/>
      <c r="G42" s="29">
        <v>0</v>
      </c>
      <c r="H42" s="30"/>
      <c r="I42" s="93"/>
      <c r="J42" s="30" t="s">
        <v>9</v>
      </c>
      <c r="K42" s="75" t="str">
        <f>IF(I42="","",(E42*(G42/100+1)/I42*100)/1000)</f>
        <v/>
      </c>
      <c r="L42" s="68" t="str">
        <f t="shared" si="1"/>
        <v/>
      </c>
      <c r="M42" s="36"/>
      <c r="N42" s="31"/>
      <c r="O42" s="31"/>
      <c r="P42" s="31"/>
    </row>
    <row r="43" spans="1:16" s="32" customFormat="1" ht="30" customHeight="1" x14ac:dyDescent="0.25">
      <c r="A43" s="56">
        <f t="shared" si="2"/>
        <v>0</v>
      </c>
      <c r="B43" s="59" t="s">
        <v>57</v>
      </c>
      <c r="C43" s="83">
        <v>3000</v>
      </c>
      <c r="D43" s="30" t="s">
        <v>8</v>
      </c>
      <c r="E43" s="87">
        <f t="shared" si="0"/>
        <v>0</v>
      </c>
      <c r="F43" s="55"/>
      <c r="G43" s="29">
        <v>0</v>
      </c>
      <c r="H43" s="30"/>
      <c r="I43" s="93"/>
      <c r="J43" s="30" t="s">
        <v>9</v>
      </c>
      <c r="K43" s="75" t="str">
        <f>IF(I43="","",(E43*(G43/100+1)/I43*100))</f>
        <v/>
      </c>
      <c r="L43" s="68" t="str">
        <f t="shared" si="1"/>
        <v/>
      </c>
      <c r="M43" s="36"/>
      <c r="N43" s="31"/>
      <c r="O43" s="31"/>
      <c r="P43" s="31"/>
    </row>
    <row r="44" spans="1:16" s="32" customFormat="1" ht="30" customHeight="1" x14ac:dyDescent="0.25">
      <c r="A44" s="56">
        <f t="shared" si="2"/>
        <v>0</v>
      </c>
      <c r="B44" s="59" t="s">
        <v>56</v>
      </c>
      <c r="C44" s="83">
        <f>IF($H$4="Lactante 0-6m",6,IF($H$4="Mujer",26,IF($H$4="Embarazo",30,IF($H$4="Lactancia",35,IF($H$4="Lactante 7-11m",10,IF($H$4="Niño 1-3",17,IF($H$4="Niño 4-6",21,IF($H$4="Niño 7-9",21,34))))))))</f>
        <v>34</v>
      </c>
      <c r="D44" s="34" t="s">
        <v>16</v>
      </c>
      <c r="E44" s="87">
        <f t="shared" si="0"/>
        <v>0</v>
      </c>
      <c r="F44" s="55"/>
      <c r="G44" s="29">
        <v>0</v>
      </c>
      <c r="H44" s="30"/>
      <c r="I44" s="93"/>
      <c r="J44" s="30" t="s">
        <v>9</v>
      </c>
      <c r="K44" s="75" t="str">
        <f>IF(I44="","",(E44*(G44/100+1)/I44*100)/1000)</f>
        <v/>
      </c>
      <c r="L44" s="68" t="str">
        <f t="shared" si="1"/>
        <v/>
      </c>
      <c r="M44" s="36"/>
      <c r="N44" s="31"/>
      <c r="O44" s="31"/>
      <c r="P44" s="31"/>
    </row>
    <row r="45" spans="1:16" s="32" customFormat="1" ht="30" customHeight="1" x14ac:dyDescent="0.25">
      <c r="A45" s="56">
        <f t="shared" si="2"/>
        <v>0</v>
      </c>
      <c r="B45" s="59" t="s">
        <v>35</v>
      </c>
      <c r="C45" s="83">
        <f>IF($H$4="Lactante 0-6m",2.8,IF($H$4="Mujer",4.9,IF($H$4="Embarazo",10,IF($H$4="Lactancia",9.5,IF($H$4="Lactante 7-11m",4.1,IF($H$4="Niño 1-3",4.1,IF($H$4="Niño 4-6",5.1,IF($H$4="Niño 7-9",5.6,IF($H$4="IDR Codex",15,7)))))))))</f>
        <v>7</v>
      </c>
      <c r="D45" s="30" t="s">
        <v>8</v>
      </c>
      <c r="E45" s="87">
        <f t="shared" si="0"/>
        <v>0</v>
      </c>
      <c r="F45" s="55"/>
      <c r="G45" s="29">
        <v>0</v>
      </c>
      <c r="H45" s="30"/>
      <c r="I45" s="93"/>
      <c r="J45" s="30" t="s">
        <v>9</v>
      </c>
      <c r="K45" s="75" t="str">
        <f>IF(I45="","",(E45*(G45/100+1)/I45*100))</f>
        <v/>
      </c>
      <c r="L45" s="68" t="str">
        <f t="shared" si="1"/>
        <v/>
      </c>
      <c r="M45" s="36"/>
      <c r="N45" s="31"/>
      <c r="O45" s="31"/>
      <c r="P45" s="31"/>
    </row>
    <row r="46" spans="1:16" s="32" customFormat="1" ht="30" customHeight="1" x14ac:dyDescent="0.25">
      <c r="A46" s="56">
        <f t="shared" si="2"/>
        <v>0</v>
      </c>
      <c r="B46" s="59" t="s">
        <v>36</v>
      </c>
      <c r="C46" s="83">
        <v>2.4</v>
      </c>
      <c r="D46" s="34" t="s">
        <v>16</v>
      </c>
      <c r="E46" s="89">
        <f t="shared" si="0"/>
        <v>0</v>
      </c>
      <c r="F46" s="55"/>
      <c r="G46" s="29">
        <v>0</v>
      </c>
      <c r="H46" s="30"/>
      <c r="I46" s="93"/>
      <c r="J46" s="30" t="s">
        <v>9</v>
      </c>
      <c r="K46" s="33" t="str">
        <f>IF(I46="","",(E46*(G46/100+1)/I46*100)/1000)</f>
        <v/>
      </c>
      <c r="L46" s="68" t="str">
        <f t="shared" si="1"/>
        <v/>
      </c>
      <c r="M46" s="36"/>
      <c r="N46" s="31"/>
      <c r="O46" s="31"/>
      <c r="P46" s="31"/>
    </row>
    <row r="47" spans="1:16" s="32" customFormat="1" ht="30" customHeight="1" x14ac:dyDescent="0.25">
      <c r="A47" s="56">
        <f t="shared" si="2"/>
        <v>0</v>
      </c>
      <c r="B47" s="59"/>
      <c r="C47" s="83" t="str">
        <f>IF(B47="Ca",$C$33,IF(B47="Fe",$C$32,IF(B47="P", $C$34,IF(B47="Na",$C$35,IF(B47="Cu",$C$36,IF(B47="Cr",$C$37,IF(B47="F",$C$38,IF(B47="I",$C$39,IF(B47="Mg",$C$40,IF(B47="Mn",$C$41,IF(B47="Mo",$C$42,IF(B47="K",$C$43,IF(B47="Se",$C$44,IF(B47="Zn",$C$45,IF(B47="Co",$C$46,"")))))))))))))))</f>
        <v/>
      </c>
      <c r="D47" s="34" t="str">
        <f>IF(B47="Ca",$D$33,IF(B47="Fe",$D$32,IF(B47="P", $D$34,IF(B47="Na",$D$35,IF(B47="Cu",$D$36,IF(B47="Cr",$D$37,IF(B47="F",$D$38,IF(B47="I",$D$39,IF(B47="Mg",$D$40,IF(B47="Mn",$D$41,IF(B47="Mo",$D$42,IF(B47="K",$D$43,IF(B47="Se",$D$44,IF(B47="Zn",$D$45,IF(B47="Co",$D$46,"")))))))))))))))</f>
        <v/>
      </c>
      <c r="E47" s="89" t="e">
        <f t="shared" si="0"/>
        <v>#VALUE!</v>
      </c>
      <c r="F47" s="55"/>
      <c r="G47" s="29">
        <v>0</v>
      </c>
      <c r="H47" s="30"/>
      <c r="I47" s="93"/>
      <c r="J47" s="30" t="s">
        <v>9</v>
      </c>
      <c r="K47" s="33" t="str">
        <f>IF(I47="","",(E47*(G47/100+1)/I47*100)/(IF(D47="µg",1000,1)))</f>
        <v/>
      </c>
      <c r="L47" s="68" t="str">
        <f t="shared" si="1"/>
        <v/>
      </c>
      <c r="M47" s="36"/>
      <c r="N47" s="31"/>
      <c r="O47" s="31"/>
      <c r="P47" s="31"/>
    </row>
    <row r="48" spans="1:16" s="32" customFormat="1" ht="30" customHeight="1" x14ac:dyDescent="0.25">
      <c r="A48" s="56">
        <f t="shared" si="2"/>
        <v>0</v>
      </c>
      <c r="B48" s="59"/>
      <c r="C48" s="83" t="str">
        <f t="shared" ref="C48:C99" si="5">IF(B48="Ca",$C$33,IF(B48="Fe",$C$32,IF(B48="P", $C$34,IF(B48="Na",$C$35,IF(B48="Cu",$C$36,IF(B48="Cr",$C$37,IF(B48="F",$C$38,IF(B48="I",$C$39,IF(B48="Mg",$C$40,IF(B48="Mn",$C$41,IF(B48="Mo",$C$42,IF(B48="K",$C$43,IF(B48="Se",$C$44,IF(B48="Zn",$C$45,IF(B48="Co",$C$46,"")))))))))))))))</f>
        <v/>
      </c>
      <c r="D48" s="34" t="str">
        <f t="shared" ref="D48:D99" si="6">IF(B48="Ca",$D$33,IF(B48="Fe",$D$32,IF(B48="P", $D$34,IF(B48="Na",$D$35,IF(B48="Cu",$D$36,IF(B48="Cr",$D$37,IF(B48="F",$D$38,IF(B48="I",$D$39,IF(B48="Mg",$D$40,IF(B48="Mn",$D$41,IF(B48="Mo",$D$42,IF(B48="K",$D$43,IF(B48="Se",$D$44,IF(B48="Zn",$D$45,IF(B48="Co",$D$46,"")))))))))))))))</f>
        <v/>
      </c>
      <c r="E48" s="89" t="e">
        <f t="shared" si="0"/>
        <v>#VALUE!</v>
      </c>
      <c r="F48" s="55"/>
      <c r="G48" s="29">
        <v>0</v>
      </c>
      <c r="H48" s="30"/>
      <c r="I48" s="93"/>
      <c r="J48" s="30" t="s">
        <v>9</v>
      </c>
      <c r="K48" s="75" t="str">
        <f t="shared" ref="K48:K99" si="7">IF(I48="","",(E48*(G48/100+1)/I48*100)/(IF(D48="µg",1000,1)))</f>
        <v/>
      </c>
      <c r="L48" s="68" t="str">
        <f t="shared" si="1"/>
        <v/>
      </c>
      <c r="M48" s="36"/>
      <c r="N48" s="31"/>
      <c r="O48" s="31"/>
      <c r="P48" s="31"/>
    </row>
    <row r="49" spans="1:16" s="32" customFormat="1" ht="30" customHeight="1" x14ac:dyDescent="0.25">
      <c r="A49" s="56">
        <f t="shared" si="2"/>
        <v>0</v>
      </c>
      <c r="B49" s="59"/>
      <c r="C49" s="83" t="str">
        <f t="shared" si="5"/>
        <v/>
      </c>
      <c r="D49" s="34" t="str">
        <f t="shared" si="6"/>
        <v/>
      </c>
      <c r="E49" s="90" t="e">
        <f t="shared" si="0"/>
        <v>#VALUE!</v>
      </c>
      <c r="F49" s="55"/>
      <c r="G49" s="29">
        <v>0</v>
      </c>
      <c r="H49" s="30"/>
      <c r="I49" s="93"/>
      <c r="J49" s="30" t="s">
        <v>9</v>
      </c>
      <c r="K49" s="33" t="str">
        <f t="shared" si="7"/>
        <v/>
      </c>
      <c r="L49" s="68" t="str">
        <f t="shared" si="1"/>
        <v/>
      </c>
      <c r="M49" s="36"/>
      <c r="N49" s="31"/>
      <c r="O49" s="31"/>
      <c r="P49" s="31"/>
    </row>
    <row r="50" spans="1:16" s="32" customFormat="1" ht="30" customHeight="1" x14ac:dyDescent="0.25">
      <c r="A50" s="56">
        <f t="shared" si="2"/>
        <v>0</v>
      </c>
      <c r="B50" s="59"/>
      <c r="C50" s="83" t="str">
        <f t="shared" si="5"/>
        <v/>
      </c>
      <c r="D50" s="34" t="str">
        <f t="shared" si="6"/>
        <v/>
      </c>
      <c r="E50" s="90" t="e">
        <f t="shared" si="0"/>
        <v>#VALUE!</v>
      </c>
      <c r="F50" s="55"/>
      <c r="G50" s="29">
        <v>0</v>
      </c>
      <c r="H50" s="30"/>
      <c r="I50" s="93"/>
      <c r="J50" s="30" t="s">
        <v>9</v>
      </c>
      <c r="K50" s="33" t="str">
        <f t="shared" si="7"/>
        <v/>
      </c>
      <c r="L50" s="68" t="str">
        <f t="shared" si="1"/>
        <v/>
      </c>
      <c r="M50" s="36"/>
      <c r="N50" s="31"/>
      <c r="O50" s="31"/>
      <c r="P50" s="31"/>
    </row>
    <row r="51" spans="1:16" s="32" customFormat="1" ht="30" customHeight="1" x14ac:dyDescent="0.25">
      <c r="A51" s="56">
        <f t="shared" si="2"/>
        <v>0</v>
      </c>
      <c r="B51" s="59"/>
      <c r="C51" s="83" t="str">
        <f t="shared" si="5"/>
        <v/>
      </c>
      <c r="D51" s="34" t="str">
        <f t="shared" si="6"/>
        <v/>
      </c>
      <c r="E51" s="90" t="e">
        <f t="shared" si="0"/>
        <v>#VALUE!</v>
      </c>
      <c r="F51" s="55"/>
      <c r="G51" s="29">
        <v>0</v>
      </c>
      <c r="H51" s="30"/>
      <c r="I51" s="93"/>
      <c r="J51" s="30" t="s">
        <v>9</v>
      </c>
      <c r="K51" s="33" t="str">
        <f t="shared" si="7"/>
        <v/>
      </c>
      <c r="L51" s="68" t="str">
        <f t="shared" si="1"/>
        <v/>
      </c>
      <c r="M51" s="36"/>
      <c r="N51" s="31"/>
      <c r="O51" s="31"/>
      <c r="P51" s="31"/>
    </row>
    <row r="52" spans="1:16" s="32" customFormat="1" ht="30" customHeight="1" x14ac:dyDescent="0.25">
      <c r="A52" s="56">
        <f t="shared" si="2"/>
        <v>0</v>
      </c>
      <c r="B52" s="59"/>
      <c r="C52" s="83" t="str">
        <f t="shared" si="5"/>
        <v/>
      </c>
      <c r="D52" s="34" t="str">
        <f t="shared" si="6"/>
        <v/>
      </c>
      <c r="E52" s="90" t="e">
        <f t="shared" ref="E52:E83" si="8">(C52*F52/100)</f>
        <v>#VALUE!</v>
      </c>
      <c r="F52" s="55"/>
      <c r="G52" s="29">
        <v>0</v>
      </c>
      <c r="H52" s="30"/>
      <c r="I52" s="93"/>
      <c r="J52" s="30" t="s">
        <v>9</v>
      </c>
      <c r="K52" s="33" t="str">
        <f t="shared" si="7"/>
        <v/>
      </c>
      <c r="L52" s="68" t="str">
        <f t="shared" si="1"/>
        <v/>
      </c>
      <c r="M52" s="36"/>
      <c r="N52" s="31"/>
      <c r="O52" s="31"/>
      <c r="P52" s="31"/>
    </row>
    <row r="53" spans="1:16" s="32" customFormat="1" ht="30" customHeight="1" x14ac:dyDescent="0.25">
      <c r="A53" s="56">
        <f t="shared" si="2"/>
        <v>0</v>
      </c>
      <c r="B53" s="59"/>
      <c r="C53" s="83" t="str">
        <f t="shared" si="5"/>
        <v/>
      </c>
      <c r="D53" s="34" t="str">
        <f t="shared" si="6"/>
        <v/>
      </c>
      <c r="E53" s="90" t="e">
        <f t="shared" si="8"/>
        <v>#VALUE!</v>
      </c>
      <c r="F53" s="55"/>
      <c r="G53" s="29">
        <v>0</v>
      </c>
      <c r="H53" s="30"/>
      <c r="I53" s="93"/>
      <c r="J53" s="30" t="s">
        <v>9</v>
      </c>
      <c r="K53" s="33" t="str">
        <f t="shared" si="7"/>
        <v/>
      </c>
      <c r="L53" s="68" t="str">
        <f t="shared" si="1"/>
        <v/>
      </c>
      <c r="M53" s="36"/>
      <c r="N53" s="31"/>
      <c r="O53" s="31"/>
      <c r="P53" s="31"/>
    </row>
    <row r="54" spans="1:16" s="32" customFormat="1" ht="30" customHeight="1" x14ac:dyDescent="0.25">
      <c r="A54" s="56">
        <f t="shared" si="2"/>
        <v>0</v>
      </c>
      <c r="B54" s="59"/>
      <c r="C54" s="83" t="str">
        <f t="shared" si="5"/>
        <v/>
      </c>
      <c r="D54" s="34" t="str">
        <f t="shared" si="6"/>
        <v/>
      </c>
      <c r="E54" s="30" t="e">
        <f t="shared" si="8"/>
        <v>#VALUE!</v>
      </c>
      <c r="F54" s="55"/>
      <c r="G54" s="29">
        <v>0</v>
      </c>
      <c r="H54" s="30"/>
      <c r="I54" s="93"/>
      <c r="J54" s="30" t="s">
        <v>9</v>
      </c>
      <c r="K54" s="33" t="str">
        <f t="shared" si="7"/>
        <v/>
      </c>
      <c r="L54" s="68" t="str">
        <f t="shared" si="1"/>
        <v/>
      </c>
      <c r="M54" s="36"/>
      <c r="N54" s="31"/>
      <c r="O54" s="31"/>
      <c r="P54" s="31"/>
    </row>
    <row r="55" spans="1:16" s="32" customFormat="1" ht="30" customHeight="1" x14ac:dyDescent="0.25">
      <c r="A55" s="56">
        <f t="shared" si="2"/>
        <v>0</v>
      </c>
      <c r="B55" s="59"/>
      <c r="C55" s="83" t="str">
        <f t="shared" si="5"/>
        <v/>
      </c>
      <c r="D55" s="34" t="str">
        <f t="shared" si="6"/>
        <v/>
      </c>
      <c r="E55" s="30" t="e">
        <f t="shared" si="8"/>
        <v>#VALUE!</v>
      </c>
      <c r="F55" s="55"/>
      <c r="G55" s="29">
        <v>5</v>
      </c>
      <c r="H55" s="30"/>
      <c r="I55" s="93"/>
      <c r="J55" s="30" t="s">
        <v>9</v>
      </c>
      <c r="K55" s="33" t="str">
        <f t="shared" si="7"/>
        <v/>
      </c>
      <c r="L55" s="68" t="str">
        <f t="shared" si="1"/>
        <v/>
      </c>
      <c r="M55" s="36"/>
      <c r="N55" s="31"/>
      <c r="O55" s="31"/>
      <c r="P55" s="31"/>
    </row>
    <row r="56" spans="1:16" s="32" customFormat="1" ht="30" customHeight="1" x14ac:dyDescent="0.25">
      <c r="A56" s="56">
        <f t="shared" si="2"/>
        <v>0</v>
      </c>
      <c r="B56" s="59"/>
      <c r="C56" s="83" t="str">
        <f t="shared" si="5"/>
        <v/>
      </c>
      <c r="D56" s="34" t="str">
        <f t="shared" si="6"/>
        <v/>
      </c>
      <c r="E56" s="30" t="e">
        <f t="shared" si="8"/>
        <v>#VALUE!</v>
      </c>
      <c r="F56" s="55"/>
      <c r="G56" s="29">
        <v>5</v>
      </c>
      <c r="H56" s="30"/>
      <c r="I56" s="93"/>
      <c r="J56" s="30" t="s">
        <v>9</v>
      </c>
      <c r="K56" s="33" t="str">
        <f t="shared" si="7"/>
        <v/>
      </c>
      <c r="L56" s="68" t="str">
        <f t="shared" si="1"/>
        <v/>
      </c>
      <c r="M56" s="36"/>
      <c r="N56" s="31"/>
      <c r="O56" s="31"/>
      <c r="P56" s="31"/>
    </row>
    <row r="57" spans="1:16" s="32" customFormat="1" ht="30" customHeight="1" x14ac:dyDescent="0.25">
      <c r="A57" s="56">
        <f t="shared" si="2"/>
        <v>0</v>
      </c>
      <c r="B57" s="59"/>
      <c r="C57" s="83" t="str">
        <f t="shared" si="5"/>
        <v/>
      </c>
      <c r="D57" s="34" t="str">
        <f t="shared" si="6"/>
        <v/>
      </c>
      <c r="E57" s="30" t="e">
        <f t="shared" si="8"/>
        <v>#VALUE!</v>
      </c>
      <c r="F57" s="55"/>
      <c r="G57" s="29">
        <v>5</v>
      </c>
      <c r="H57" s="30"/>
      <c r="I57" s="93"/>
      <c r="J57" s="30" t="s">
        <v>9</v>
      </c>
      <c r="K57" s="33" t="str">
        <f t="shared" si="7"/>
        <v/>
      </c>
      <c r="L57" s="70" t="str">
        <f t="shared" si="1"/>
        <v/>
      </c>
      <c r="M57" s="36"/>
      <c r="N57" s="31"/>
      <c r="O57" s="31"/>
      <c r="P57" s="31"/>
    </row>
    <row r="58" spans="1:16" ht="30" customHeight="1" x14ac:dyDescent="0.25">
      <c r="A58" s="56">
        <f t="shared" si="2"/>
        <v>0</v>
      </c>
      <c r="B58" s="59"/>
      <c r="C58" s="83" t="str">
        <f t="shared" si="5"/>
        <v/>
      </c>
      <c r="D58" s="34" t="str">
        <f t="shared" si="6"/>
        <v/>
      </c>
      <c r="E58" s="30" t="e">
        <f t="shared" si="8"/>
        <v>#VALUE!</v>
      </c>
      <c r="F58" s="55"/>
      <c r="G58" s="29">
        <v>5</v>
      </c>
      <c r="H58" s="30"/>
      <c r="I58" s="93"/>
      <c r="J58" s="30" t="s">
        <v>9</v>
      </c>
      <c r="K58" s="33" t="str">
        <f t="shared" si="7"/>
        <v/>
      </c>
      <c r="L58" s="70" t="str">
        <f t="shared" si="1"/>
        <v/>
      </c>
      <c r="M58" s="11"/>
      <c r="N58" s="10"/>
      <c r="O58" s="10"/>
      <c r="P58" s="10"/>
    </row>
    <row r="59" spans="1:16" ht="30" customHeight="1" x14ac:dyDescent="0.25">
      <c r="A59" s="56">
        <f t="shared" si="2"/>
        <v>0</v>
      </c>
      <c r="B59" s="59"/>
      <c r="C59" s="83" t="str">
        <f t="shared" si="5"/>
        <v/>
      </c>
      <c r="D59" s="34" t="str">
        <f t="shared" si="6"/>
        <v/>
      </c>
      <c r="E59" s="30" t="e">
        <f t="shared" si="8"/>
        <v>#VALUE!</v>
      </c>
      <c r="F59" s="55"/>
      <c r="G59" s="29">
        <v>5</v>
      </c>
      <c r="H59" s="30"/>
      <c r="I59" s="93"/>
      <c r="J59" s="30" t="s">
        <v>9</v>
      </c>
      <c r="K59" s="33" t="str">
        <f t="shared" si="7"/>
        <v/>
      </c>
      <c r="L59" s="70" t="str">
        <f t="shared" si="1"/>
        <v/>
      </c>
      <c r="M59" s="11"/>
      <c r="N59" s="10"/>
      <c r="O59" s="10"/>
      <c r="P59" s="10"/>
    </row>
    <row r="60" spans="1:16" ht="30" customHeight="1" x14ac:dyDescent="0.25">
      <c r="A60" s="56">
        <f t="shared" si="2"/>
        <v>0</v>
      </c>
      <c r="B60" s="59"/>
      <c r="C60" s="83" t="str">
        <f t="shared" si="5"/>
        <v/>
      </c>
      <c r="D60" s="34" t="str">
        <f t="shared" si="6"/>
        <v/>
      </c>
      <c r="E60" s="30" t="e">
        <f t="shared" si="8"/>
        <v>#VALUE!</v>
      </c>
      <c r="F60" s="55"/>
      <c r="G60" s="29">
        <v>5</v>
      </c>
      <c r="H60" s="30"/>
      <c r="I60" s="93"/>
      <c r="J60" s="30" t="s">
        <v>9</v>
      </c>
      <c r="K60" s="33" t="str">
        <f t="shared" si="7"/>
        <v/>
      </c>
      <c r="L60" s="70" t="str">
        <f t="shared" si="1"/>
        <v/>
      </c>
      <c r="M60" s="4"/>
      <c r="N60" s="10"/>
      <c r="O60" s="10"/>
      <c r="P60" s="10"/>
    </row>
    <row r="61" spans="1:16" ht="30" customHeight="1" x14ac:dyDescent="0.25">
      <c r="A61" s="56">
        <f t="shared" si="2"/>
        <v>0</v>
      </c>
      <c r="B61" s="59"/>
      <c r="C61" s="83" t="str">
        <f t="shared" si="5"/>
        <v/>
      </c>
      <c r="D61" s="34" t="str">
        <f t="shared" si="6"/>
        <v/>
      </c>
      <c r="E61" s="30" t="e">
        <f t="shared" si="8"/>
        <v>#VALUE!</v>
      </c>
      <c r="F61" s="55"/>
      <c r="G61" s="29">
        <v>5</v>
      </c>
      <c r="H61" s="30"/>
      <c r="I61" s="93"/>
      <c r="J61" s="30" t="s">
        <v>9</v>
      </c>
      <c r="K61" s="33" t="str">
        <f t="shared" si="7"/>
        <v/>
      </c>
      <c r="L61" s="70" t="str">
        <f t="shared" si="1"/>
        <v/>
      </c>
      <c r="M61" s="11"/>
      <c r="N61" s="10"/>
      <c r="O61" s="10"/>
      <c r="P61" s="10"/>
    </row>
    <row r="62" spans="1:16" ht="30" customHeight="1" x14ac:dyDescent="0.25">
      <c r="A62" s="56">
        <f t="shared" si="2"/>
        <v>0</v>
      </c>
      <c r="B62" s="59"/>
      <c r="C62" s="83" t="str">
        <f t="shared" si="5"/>
        <v/>
      </c>
      <c r="D62" s="34" t="str">
        <f t="shared" si="6"/>
        <v/>
      </c>
      <c r="E62" s="30" t="e">
        <f t="shared" si="8"/>
        <v>#VALUE!</v>
      </c>
      <c r="F62" s="55"/>
      <c r="G62" s="29">
        <v>5</v>
      </c>
      <c r="H62" s="30"/>
      <c r="I62" s="93"/>
      <c r="J62" s="30" t="s">
        <v>9</v>
      </c>
      <c r="K62" s="33" t="str">
        <f t="shared" si="7"/>
        <v/>
      </c>
      <c r="L62" s="70" t="str">
        <f t="shared" si="1"/>
        <v/>
      </c>
      <c r="M62" s="11"/>
      <c r="N62" s="10"/>
      <c r="O62" s="10"/>
      <c r="P62" s="10"/>
    </row>
    <row r="63" spans="1:16" ht="30" customHeight="1" x14ac:dyDescent="0.25">
      <c r="A63" s="56">
        <f t="shared" si="2"/>
        <v>0</v>
      </c>
      <c r="B63" s="59"/>
      <c r="C63" s="83" t="str">
        <f t="shared" si="5"/>
        <v/>
      </c>
      <c r="D63" s="34" t="str">
        <f t="shared" si="6"/>
        <v/>
      </c>
      <c r="E63" s="30" t="e">
        <f t="shared" si="8"/>
        <v>#VALUE!</v>
      </c>
      <c r="F63" s="55"/>
      <c r="G63" s="29">
        <v>5</v>
      </c>
      <c r="H63" s="30"/>
      <c r="I63" s="93"/>
      <c r="J63" s="30" t="s">
        <v>9</v>
      </c>
      <c r="K63" s="33" t="str">
        <f t="shared" si="7"/>
        <v/>
      </c>
      <c r="L63" s="70" t="str">
        <f t="shared" si="1"/>
        <v/>
      </c>
      <c r="M63" s="42"/>
      <c r="N63" s="10"/>
      <c r="O63" s="10"/>
      <c r="P63" s="10"/>
    </row>
    <row r="64" spans="1:16" ht="30" customHeight="1" x14ac:dyDescent="0.25">
      <c r="A64" s="56">
        <f t="shared" si="2"/>
        <v>0</v>
      </c>
      <c r="B64" s="59"/>
      <c r="C64" s="83" t="str">
        <f t="shared" si="5"/>
        <v/>
      </c>
      <c r="D64" s="34" t="str">
        <f t="shared" si="6"/>
        <v/>
      </c>
      <c r="E64" s="30" t="e">
        <f t="shared" si="8"/>
        <v>#VALUE!</v>
      </c>
      <c r="F64" s="55"/>
      <c r="G64" s="29">
        <v>5</v>
      </c>
      <c r="H64" s="30"/>
      <c r="I64" s="93"/>
      <c r="J64" s="30" t="s">
        <v>9</v>
      </c>
      <c r="K64" s="33" t="str">
        <f t="shared" si="7"/>
        <v/>
      </c>
      <c r="L64" s="70" t="str">
        <f t="shared" si="1"/>
        <v/>
      </c>
      <c r="M64" s="11"/>
      <c r="N64" s="10"/>
      <c r="O64" s="10"/>
      <c r="P64" s="10"/>
    </row>
    <row r="65" spans="1:16" ht="30" customHeight="1" x14ac:dyDescent="0.25">
      <c r="A65" s="56">
        <f t="shared" si="2"/>
        <v>0</v>
      </c>
      <c r="B65" s="59"/>
      <c r="C65" s="83" t="str">
        <f t="shared" si="5"/>
        <v/>
      </c>
      <c r="D65" s="34" t="str">
        <f t="shared" si="6"/>
        <v/>
      </c>
      <c r="E65" s="30" t="e">
        <f t="shared" si="8"/>
        <v>#VALUE!</v>
      </c>
      <c r="F65" s="55"/>
      <c r="G65" s="29">
        <v>5</v>
      </c>
      <c r="H65" s="30"/>
      <c r="I65" s="93"/>
      <c r="J65" s="30" t="s">
        <v>9</v>
      </c>
      <c r="K65" s="33" t="str">
        <f t="shared" si="7"/>
        <v/>
      </c>
      <c r="L65" s="70" t="str">
        <f t="shared" si="1"/>
        <v/>
      </c>
      <c r="M65" s="11"/>
      <c r="N65" s="10"/>
      <c r="O65" s="10"/>
      <c r="P65" s="10"/>
    </row>
    <row r="66" spans="1:16" ht="30" customHeight="1" x14ac:dyDescent="0.25">
      <c r="A66" s="56">
        <f t="shared" si="2"/>
        <v>0</v>
      </c>
      <c r="B66" s="59"/>
      <c r="C66" s="83" t="str">
        <f t="shared" si="5"/>
        <v/>
      </c>
      <c r="D66" s="34" t="str">
        <f t="shared" si="6"/>
        <v/>
      </c>
      <c r="E66" s="30" t="e">
        <f t="shared" si="8"/>
        <v>#VALUE!</v>
      </c>
      <c r="F66" s="55"/>
      <c r="G66" s="29">
        <v>5</v>
      </c>
      <c r="H66" s="30"/>
      <c r="I66" s="93"/>
      <c r="J66" s="30" t="s">
        <v>9</v>
      </c>
      <c r="K66" s="33" t="str">
        <f t="shared" si="7"/>
        <v/>
      </c>
      <c r="L66" s="70" t="str">
        <f t="shared" si="1"/>
        <v/>
      </c>
      <c r="M66" s="11"/>
      <c r="N66" s="10"/>
      <c r="O66" s="10"/>
      <c r="P66" s="10"/>
    </row>
    <row r="67" spans="1:16" ht="30" customHeight="1" x14ac:dyDescent="0.25">
      <c r="A67" s="56">
        <f t="shared" si="2"/>
        <v>0</v>
      </c>
      <c r="B67" s="59"/>
      <c r="C67" s="83" t="str">
        <f t="shared" si="5"/>
        <v/>
      </c>
      <c r="D67" s="34" t="str">
        <f t="shared" si="6"/>
        <v/>
      </c>
      <c r="E67" s="30" t="e">
        <f t="shared" si="8"/>
        <v>#VALUE!</v>
      </c>
      <c r="F67" s="55"/>
      <c r="G67" s="29">
        <v>5</v>
      </c>
      <c r="H67" s="30"/>
      <c r="I67" s="93"/>
      <c r="J67" s="30" t="s">
        <v>9</v>
      </c>
      <c r="K67" s="33" t="str">
        <f t="shared" si="7"/>
        <v/>
      </c>
      <c r="L67" s="70" t="str">
        <f t="shared" si="1"/>
        <v/>
      </c>
      <c r="M67" s="11"/>
      <c r="N67" s="10"/>
      <c r="O67" s="10"/>
      <c r="P67" s="10"/>
    </row>
    <row r="68" spans="1:16" ht="30" customHeight="1" x14ac:dyDescent="0.25">
      <c r="A68" s="56">
        <f t="shared" si="2"/>
        <v>0</v>
      </c>
      <c r="B68" s="59"/>
      <c r="C68" s="83" t="str">
        <f t="shared" si="5"/>
        <v/>
      </c>
      <c r="D68" s="34" t="str">
        <f t="shared" si="6"/>
        <v/>
      </c>
      <c r="E68" s="30" t="e">
        <f t="shared" si="8"/>
        <v>#VALUE!</v>
      </c>
      <c r="F68" s="55"/>
      <c r="G68" s="29">
        <v>5</v>
      </c>
      <c r="H68" s="30"/>
      <c r="I68" s="93"/>
      <c r="J68" s="30" t="s">
        <v>9</v>
      </c>
      <c r="K68" s="33" t="str">
        <f t="shared" si="7"/>
        <v/>
      </c>
      <c r="L68" s="70" t="str">
        <f t="shared" si="1"/>
        <v/>
      </c>
      <c r="M68" s="11"/>
      <c r="N68" s="10"/>
      <c r="O68" s="10"/>
      <c r="P68" s="10"/>
    </row>
    <row r="69" spans="1:16" ht="30" customHeight="1" x14ac:dyDescent="0.25">
      <c r="A69" s="56">
        <f t="shared" si="2"/>
        <v>0</v>
      </c>
      <c r="B69" s="59"/>
      <c r="C69" s="83" t="str">
        <f t="shared" si="5"/>
        <v/>
      </c>
      <c r="D69" s="34" t="str">
        <f t="shared" si="6"/>
        <v/>
      </c>
      <c r="E69" s="30" t="e">
        <f t="shared" si="8"/>
        <v>#VALUE!</v>
      </c>
      <c r="F69" s="55"/>
      <c r="G69" s="29">
        <v>5</v>
      </c>
      <c r="H69" s="30"/>
      <c r="I69" s="93"/>
      <c r="J69" s="30" t="s">
        <v>9</v>
      </c>
      <c r="K69" s="33" t="str">
        <f t="shared" si="7"/>
        <v/>
      </c>
      <c r="L69" s="70" t="str">
        <f t="shared" si="1"/>
        <v/>
      </c>
      <c r="M69" s="11"/>
      <c r="N69" s="10"/>
      <c r="O69" s="10"/>
      <c r="P69" s="10"/>
    </row>
    <row r="70" spans="1:16" ht="30" customHeight="1" x14ac:dyDescent="0.25">
      <c r="A70" s="56">
        <f t="shared" si="2"/>
        <v>0</v>
      </c>
      <c r="B70" s="59"/>
      <c r="C70" s="83" t="str">
        <f t="shared" si="5"/>
        <v/>
      </c>
      <c r="D70" s="34" t="str">
        <f t="shared" si="6"/>
        <v/>
      </c>
      <c r="E70" s="30" t="e">
        <f t="shared" si="8"/>
        <v>#VALUE!</v>
      </c>
      <c r="F70" s="55"/>
      <c r="G70" s="29">
        <v>5</v>
      </c>
      <c r="H70" s="30"/>
      <c r="I70" s="93"/>
      <c r="J70" s="30" t="s">
        <v>9</v>
      </c>
      <c r="K70" s="33" t="str">
        <f t="shared" si="7"/>
        <v/>
      </c>
      <c r="L70" s="70" t="str">
        <f t="shared" si="1"/>
        <v/>
      </c>
      <c r="M70" s="11"/>
      <c r="N70" s="10"/>
      <c r="O70" s="10"/>
      <c r="P70" s="10"/>
    </row>
    <row r="71" spans="1:16" ht="30" customHeight="1" x14ac:dyDescent="0.25">
      <c r="A71" s="56">
        <f t="shared" si="2"/>
        <v>0</v>
      </c>
      <c r="B71" s="59"/>
      <c r="C71" s="83" t="str">
        <f t="shared" si="5"/>
        <v/>
      </c>
      <c r="D71" s="34" t="str">
        <f t="shared" si="6"/>
        <v/>
      </c>
      <c r="E71" s="30" t="e">
        <f t="shared" si="8"/>
        <v>#VALUE!</v>
      </c>
      <c r="F71" s="55"/>
      <c r="G71" s="29">
        <v>5</v>
      </c>
      <c r="H71" s="30"/>
      <c r="I71" s="93"/>
      <c r="J71" s="30" t="s">
        <v>9</v>
      </c>
      <c r="K71" s="33" t="str">
        <f t="shared" si="7"/>
        <v/>
      </c>
      <c r="L71" s="70" t="str">
        <f t="shared" si="1"/>
        <v/>
      </c>
      <c r="M71" s="11"/>
      <c r="N71" s="10"/>
      <c r="O71" s="10"/>
      <c r="P71" s="10"/>
    </row>
    <row r="72" spans="1:16" ht="30" customHeight="1" x14ac:dyDescent="0.25">
      <c r="A72" s="56">
        <f t="shared" si="2"/>
        <v>0</v>
      </c>
      <c r="B72" s="59"/>
      <c r="C72" s="83" t="str">
        <f t="shared" si="5"/>
        <v/>
      </c>
      <c r="D72" s="34" t="str">
        <f t="shared" si="6"/>
        <v/>
      </c>
      <c r="E72" s="30" t="e">
        <f t="shared" si="8"/>
        <v>#VALUE!</v>
      </c>
      <c r="F72" s="55"/>
      <c r="G72" s="29">
        <v>5</v>
      </c>
      <c r="H72" s="30"/>
      <c r="I72" s="93"/>
      <c r="J72" s="30" t="s">
        <v>9</v>
      </c>
      <c r="K72" s="33" t="str">
        <f t="shared" si="7"/>
        <v/>
      </c>
      <c r="L72" s="70" t="str">
        <f t="shared" si="1"/>
        <v/>
      </c>
      <c r="M72" s="11"/>
      <c r="N72" s="10"/>
      <c r="O72" s="10"/>
      <c r="P72" s="10"/>
    </row>
    <row r="73" spans="1:16" ht="30" customHeight="1" x14ac:dyDescent="0.25">
      <c r="A73" s="56">
        <f t="shared" si="2"/>
        <v>0</v>
      </c>
      <c r="B73" s="59"/>
      <c r="C73" s="83" t="str">
        <f t="shared" si="5"/>
        <v/>
      </c>
      <c r="D73" s="34" t="str">
        <f t="shared" si="6"/>
        <v/>
      </c>
      <c r="E73" s="30" t="e">
        <f t="shared" si="8"/>
        <v>#VALUE!</v>
      </c>
      <c r="F73" s="55"/>
      <c r="G73" s="29">
        <v>5</v>
      </c>
      <c r="H73" s="30"/>
      <c r="I73" s="93"/>
      <c r="J73" s="30" t="s">
        <v>9</v>
      </c>
      <c r="K73" s="33" t="str">
        <f t="shared" si="7"/>
        <v/>
      </c>
      <c r="L73" s="70" t="str">
        <f t="shared" si="1"/>
        <v/>
      </c>
      <c r="M73" s="11"/>
      <c r="N73" s="10"/>
      <c r="O73" s="10"/>
      <c r="P73" s="10"/>
    </row>
    <row r="74" spans="1:16" ht="30" customHeight="1" x14ac:dyDescent="0.25">
      <c r="A74" s="56">
        <f t="shared" si="2"/>
        <v>0</v>
      </c>
      <c r="B74" s="59"/>
      <c r="C74" s="83" t="str">
        <f t="shared" si="5"/>
        <v/>
      </c>
      <c r="D74" s="34" t="str">
        <f t="shared" si="6"/>
        <v/>
      </c>
      <c r="E74" s="30" t="e">
        <f t="shared" si="8"/>
        <v>#VALUE!</v>
      </c>
      <c r="F74" s="55"/>
      <c r="G74" s="29">
        <v>5</v>
      </c>
      <c r="H74" s="30"/>
      <c r="I74" s="93"/>
      <c r="J74" s="30" t="s">
        <v>9</v>
      </c>
      <c r="K74" s="33" t="str">
        <f t="shared" si="7"/>
        <v/>
      </c>
      <c r="L74" s="70" t="str">
        <f t="shared" si="1"/>
        <v/>
      </c>
      <c r="M74" s="11"/>
      <c r="N74" s="10"/>
      <c r="O74" s="10"/>
      <c r="P74" s="10"/>
    </row>
    <row r="75" spans="1:16" ht="30" customHeight="1" x14ac:dyDescent="0.25">
      <c r="A75" s="56">
        <f t="shared" si="2"/>
        <v>0</v>
      </c>
      <c r="B75" s="59"/>
      <c r="C75" s="83" t="str">
        <f t="shared" si="5"/>
        <v/>
      </c>
      <c r="D75" s="34" t="str">
        <f t="shared" si="6"/>
        <v/>
      </c>
      <c r="E75" s="30" t="e">
        <f t="shared" si="8"/>
        <v>#VALUE!</v>
      </c>
      <c r="F75" s="55"/>
      <c r="G75" s="29">
        <v>5</v>
      </c>
      <c r="H75" s="30"/>
      <c r="I75" s="93"/>
      <c r="J75" s="30" t="s">
        <v>9</v>
      </c>
      <c r="K75" s="33" t="str">
        <f t="shared" si="7"/>
        <v/>
      </c>
      <c r="L75" s="70" t="str">
        <f t="shared" si="1"/>
        <v/>
      </c>
      <c r="M75" s="11"/>
      <c r="N75" s="10"/>
      <c r="O75" s="10"/>
      <c r="P75" s="10"/>
    </row>
    <row r="76" spans="1:16" ht="30" customHeight="1" x14ac:dyDescent="0.25">
      <c r="A76" s="56">
        <f t="shared" si="2"/>
        <v>0</v>
      </c>
      <c r="B76" s="59"/>
      <c r="C76" s="83" t="str">
        <f t="shared" si="5"/>
        <v/>
      </c>
      <c r="D76" s="34" t="str">
        <f t="shared" si="6"/>
        <v/>
      </c>
      <c r="E76" s="30" t="e">
        <f t="shared" si="8"/>
        <v>#VALUE!</v>
      </c>
      <c r="F76" s="55"/>
      <c r="G76" s="29">
        <v>5</v>
      </c>
      <c r="H76" s="30"/>
      <c r="I76" s="93"/>
      <c r="J76" s="30" t="s">
        <v>9</v>
      </c>
      <c r="K76" s="33" t="str">
        <f t="shared" si="7"/>
        <v/>
      </c>
      <c r="L76" s="70" t="str">
        <f t="shared" si="1"/>
        <v/>
      </c>
      <c r="M76" s="11"/>
      <c r="N76" s="10"/>
      <c r="O76" s="10"/>
      <c r="P76" s="10"/>
    </row>
    <row r="77" spans="1:16" ht="30" customHeight="1" x14ac:dyDescent="0.25">
      <c r="A77" s="56">
        <f t="shared" si="2"/>
        <v>0</v>
      </c>
      <c r="B77" s="59"/>
      <c r="C77" s="83" t="str">
        <f t="shared" si="5"/>
        <v/>
      </c>
      <c r="D77" s="34" t="str">
        <f t="shared" si="6"/>
        <v/>
      </c>
      <c r="E77" s="30" t="e">
        <f t="shared" si="8"/>
        <v>#VALUE!</v>
      </c>
      <c r="F77" s="55"/>
      <c r="G77" s="29">
        <v>5</v>
      </c>
      <c r="H77" s="30"/>
      <c r="I77" s="93"/>
      <c r="J77" s="30" t="s">
        <v>9</v>
      </c>
      <c r="K77" s="33" t="str">
        <f t="shared" si="7"/>
        <v/>
      </c>
      <c r="L77" s="70" t="str">
        <f t="shared" si="1"/>
        <v/>
      </c>
      <c r="M77" s="11"/>
      <c r="N77" s="10"/>
      <c r="O77" s="10"/>
      <c r="P77" s="10"/>
    </row>
    <row r="78" spans="1:16" ht="30" customHeight="1" x14ac:dyDescent="0.25">
      <c r="A78" s="56">
        <f t="shared" si="2"/>
        <v>0</v>
      </c>
      <c r="B78" s="59"/>
      <c r="C78" s="83" t="str">
        <f t="shared" si="5"/>
        <v/>
      </c>
      <c r="D78" s="34" t="str">
        <f t="shared" si="6"/>
        <v/>
      </c>
      <c r="E78" s="30" t="e">
        <f t="shared" si="8"/>
        <v>#VALUE!</v>
      </c>
      <c r="F78" s="55"/>
      <c r="G78" s="29">
        <v>5</v>
      </c>
      <c r="H78" s="30"/>
      <c r="I78" s="93"/>
      <c r="J78" s="30" t="s">
        <v>9</v>
      </c>
      <c r="K78" s="33" t="str">
        <f t="shared" si="7"/>
        <v/>
      </c>
      <c r="L78" s="70" t="str">
        <f t="shared" si="1"/>
        <v/>
      </c>
      <c r="M78" s="11"/>
      <c r="N78" s="10"/>
      <c r="O78" s="10"/>
      <c r="P78" s="10"/>
    </row>
    <row r="79" spans="1:16" ht="30" customHeight="1" x14ac:dyDescent="0.25">
      <c r="A79" s="56">
        <f t="shared" si="2"/>
        <v>0</v>
      </c>
      <c r="B79" s="59"/>
      <c r="C79" s="83" t="str">
        <f t="shared" si="5"/>
        <v/>
      </c>
      <c r="D79" s="34" t="str">
        <f t="shared" si="6"/>
        <v/>
      </c>
      <c r="E79" s="30" t="e">
        <f t="shared" si="8"/>
        <v>#VALUE!</v>
      </c>
      <c r="F79" s="55"/>
      <c r="G79" s="29">
        <v>5</v>
      </c>
      <c r="H79" s="30"/>
      <c r="I79" s="93"/>
      <c r="J79" s="30" t="s">
        <v>9</v>
      </c>
      <c r="K79" s="33" t="str">
        <f t="shared" si="7"/>
        <v/>
      </c>
      <c r="L79" s="70" t="str">
        <f t="shared" si="1"/>
        <v/>
      </c>
      <c r="M79" s="11"/>
      <c r="N79" s="10"/>
      <c r="O79" s="10"/>
      <c r="P79" s="10"/>
    </row>
    <row r="80" spans="1:16" ht="30" customHeight="1" x14ac:dyDescent="0.25">
      <c r="A80" s="56">
        <f t="shared" si="2"/>
        <v>0</v>
      </c>
      <c r="B80" s="59"/>
      <c r="C80" s="83" t="str">
        <f t="shared" si="5"/>
        <v/>
      </c>
      <c r="D80" s="34" t="str">
        <f t="shared" si="6"/>
        <v/>
      </c>
      <c r="E80" s="30" t="e">
        <f t="shared" si="8"/>
        <v>#VALUE!</v>
      </c>
      <c r="F80" s="55"/>
      <c r="G80" s="29">
        <v>5</v>
      </c>
      <c r="H80" s="30"/>
      <c r="I80" s="93"/>
      <c r="J80" s="30" t="s">
        <v>9</v>
      </c>
      <c r="K80" s="33" t="str">
        <f t="shared" si="7"/>
        <v/>
      </c>
      <c r="L80" s="70" t="str">
        <f t="shared" si="1"/>
        <v/>
      </c>
      <c r="M80" s="10"/>
      <c r="N80" s="10"/>
      <c r="O80" s="10"/>
      <c r="P80" s="10"/>
    </row>
    <row r="81" spans="1:16" ht="30" customHeight="1" x14ac:dyDescent="0.25">
      <c r="A81" s="56">
        <f t="shared" si="2"/>
        <v>0</v>
      </c>
      <c r="B81" s="59"/>
      <c r="C81" s="83" t="str">
        <f t="shared" si="5"/>
        <v/>
      </c>
      <c r="D81" s="34" t="str">
        <f t="shared" si="6"/>
        <v/>
      </c>
      <c r="E81" s="30" t="e">
        <f t="shared" si="8"/>
        <v>#VALUE!</v>
      </c>
      <c r="F81" s="55"/>
      <c r="G81" s="29">
        <v>5</v>
      </c>
      <c r="H81" s="30"/>
      <c r="I81" s="93"/>
      <c r="J81" s="30" t="s">
        <v>9</v>
      </c>
      <c r="K81" s="33" t="str">
        <f t="shared" si="7"/>
        <v/>
      </c>
      <c r="L81" s="70" t="str">
        <f t="shared" si="1"/>
        <v/>
      </c>
      <c r="M81" s="10"/>
      <c r="N81" s="10"/>
      <c r="O81" s="10"/>
      <c r="P81" s="10"/>
    </row>
    <row r="82" spans="1:16" ht="30" customHeight="1" x14ac:dyDescent="0.25">
      <c r="A82" s="56">
        <f t="shared" si="2"/>
        <v>0</v>
      </c>
      <c r="B82" s="59"/>
      <c r="C82" s="83" t="str">
        <f t="shared" si="5"/>
        <v/>
      </c>
      <c r="D82" s="34" t="str">
        <f t="shared" si="6"/>
        <v/>
      </c>
      <c r="E82" s="30" t="e">
        <f t="shared" si="8"/>
        <v>#VALUE!</v>
      </c>
      <c r="F82" s="55"/>
      <c r="G82" s="29">
        <v>5</v>
      </c>
      <c r="H82" s="30"/>
      <c r="I82" s="93"/>
      <c r="J82" s="30" t="s">
        <v>9</v>
      </c>
      <c r="K82" s="33" t="str">
        <f t="shared" si="7"/>
        <v/>
      </c>
      <c r="L82" s="70" t="str">
        <f t="shared" si="1"/>
        <v/>
      </c>
      <c r="M82" s="10"/>
      <c r="N82" s="10"/>
      <c r="O82" s="10"/>
      <c r="P82" s="10"/>
    </row>
    <row r="83" spans="1:16" ht="30" customHeight="1" x14ac:dyDescent="0.25">
      <c r="A83" s="56">
        <f t="shared" si="2"/>
        <v>0</v>
      </c>
      <c r="B83" s="59"/>
      <c r="C83" s="83" t="str">
        <f t="shared" si="5"/>
        <v/>
      </c>
      <c r="D83" s="34" t="str">
        <f t="shared" si="6"/>
        <v/>
      </c>
      <c r="E83" s="30" t="e">
        <f t="shared" si="8"/>
        <v>#VALUE!</v>
      </c>
      <c r="F83" s="55"/>
      <c r="G83" s="29">
        <v>5</v>
      </c>
      <c r="H83" s="30"/>
      <c r="I83" s="93"/>
      <c r="J83" s="30" t="s">
        <v>9</v>
      </c>
      <c r="K83" s="33" t="str">
        <f t="shared" si="7"/>
        <v/>
      </c>
      <c r="L83" s="70" t="str">
        <f t="shared" si="1"/>
        <v/>
      </c>
      <c r="M83" s="10"/>
      <c r="N83" s="10"/>
      <c r="O83" s="10"/>
      <c r="P83" s="10"/>
    </row>
    <row r="84" spans="1:16" ht="30" customHeight="1" x14ac:dyDescent="0.25">
      <c r="A84" s="56">
        <f t="shared" si="2"/>
        <v>0</v>
      </c>
      <c r="B84" s="59"/>
      <c r="C84" s="83" t="str">
        <f t="shared" si="5"/>
        <v/>
      </c>
      <c r="D84" s="34" t="str">
        <f t="shared" si="6"/>
        <v/>
      </c>
      <c r="E84" s="30" t="e">
        <f t="shared" ref="E84:E99" si="9">(C84*F84/100)</f>
        <v>#VALUE!</v>
      </c>
      <c r="F84" s="55"/>
      <c r="G84" s="29">
        <v>5</v>
      </c>
      <c r="H84" s="30"/>
      <c r="I84" s="93"/>
      <c r="J84" s="30" t="s">
        <v>9</v>
      </c>
      <c r="K84" s="33" t="str">
        <f t="shared" si="7"/>
        <v/>
      </c>
      <c r="L84" s="70" t="str">
        <f t="shared" ref="L84:L99" si="10">IF(K84="","",ROUND((K84*1000/$J$10),2))</f>
        <v/>
      </c>
      <c r="M84" s="10"/>
      <c r="N84" s="10"/>
      <c r="O84" s="10"/>
      <c r="P84" s="10"/>
    </row>
    <row r="85" spans="1:16" ht="30" customHeight="1" x14ac:dyDescent="0.25">
      <c r="A85" s="56">
        <f t="shared" ref="A85:A99" si="11">IF(H85="",0,1)</f>
        <v>0</v>
      </c>
      <c r="B85" s="59"/>
      <c r="C85" s="83" t="str">
        <f t="shared" si="5"/>
        <v/>
      </c>
      <c r="D85" s="34" t="str">
        <f t="shared" si="6"/>
        <v/>
      </c>
      <c r="E85" s="30" t="e">
        <f t="shared" si="9"/>
        <v>#VALUE!</v>
      </c>
      <c r="F85" s="55"/>
      <c r="G85" s="29">
        <v>5</v>
      </c>
      <c r="H85" s="30"/>
      <c r="I85" s="93"/>
      <c r="J85" s="30" t="s">
        <v>9</v>
      </c>
      <c r="K85" s="33" t="str">
        <f t="shared" si="7"/>
        <v/>
      </c>
      <c r="L85" s="70" t="str">
        <f t="shared" si="10"/>
        <v/>
      </c>
      <c r="M85" s="10"/>
      <c r="N85" s="10"/>
      <c r="O85" s="10"/>
      <c r="P85" s="10"/>
    </row>
    <row r="86" spans="1:16" ht="30" customHeight="1" x14ac:dyDescent="0.25">
      <c r="A86" s="56">
        <f t="shared" si="11"/>
        <v>0</v>
      </c>
      <c r="B86" s="59"/>
      <c r="C86" s="83" t="str">
        <f t="shared" si="5"/>
        <v/>
      </c>
      <c r="D86" s="34" t="str">
        <f t="shared" si="6"/>
        <v/>
      </c>
      <c r="E86" s="30" t="e">
        <f t="shared" si="9"/>
        <v>#VALUE!</v>
      </c>
      <c r="F86" s="55"/>
      <c r="G86" s="29">
        <v>5</v>
      </c>
      <c r="H86" s="30"/>
      <c r="I86" s="93"/>
      <c r="J86" s="30" t="s">
        <v>9</v>
      </c>
      <c r="K86" s="33" t="str">
        <f t="shared" si="7"/>
        <v/>
      </c>
      <c r="L86" s="70" t="str">
        <f t="shared" si="10"/>
        <v/>
      </c>
      <c r="M86" s="10"/>
      <c r="N86" s="10"/>
      <c r="O86" s="10"/>
      <c r="P86" s="10"/>
    </row>
    <row r="87" spans="1:16" ht="30" customHeight="1" x14ac:dyDescent="0.25">
      <c r="A87" s="56">
        <f t="shared" si="11"/>
        <v>0</v>
      </c>
      <c r="B87" s="59"/>
      <c r="C87" s="83" t="str">
        <f t="shared" si="5"/>
        <v/>
      </c>
      <c r="D87" s="34" t="str">
        <f t="shared" si="6"/>
        <v/>
      </c>
      <c r="E87" s="30" t="e">
        <f t="shared" si="9"/>
        <v>#VALUE!</v>
      </c>
      <c r="F87" s="55"/>
      <c r="G87" s="29">
        <v>5</v>
      </c>
      <c r="H87" s="30"/>
      <c r="I87" s="93"/>
      <c r="J87" s="30" t="s">
        <v>9</v>
      </c>
      <c r="K87" s="33" t="str">
        <f t="shared" si="7"/>
        <v/>
      </c>
      <c r="L87" s="70" t="str">
        <f t="shared" si="10"/>
        <v/>
      </c>
      <c r="M87" s="10"/>
      <c r="N87" s="10"/>
      <c r="O87" s="10"/>
      <c r="P87" s="10"/>
    </row>
    <row r="88" spans="1:16" ht="30" customHeight="1" x14ac:dyDescent="0.25">
      <c r="A88" s="56">
        <f t="shared" si="11"/>
        <v>0</v>
      </c>
      <c r="B88" s="59"/>
      <c r="C88" s="83" t="str">
        <f t="shared" si="5"/>
        <v/>
      </c>
      <c r="D88" s="34" t="str">
        <f t="shared" si="6"/>
        <v/>
      </c>
      <c r="E88" s="30" t="e">
        <f t="shared" si="9"/>
        <v>#VALUE!</v>
      </c>
      <c r="F88" s="55"/>
      <c r="G88" s="29">
        <v>5</v>
      </c>
      <c r="H88" s="30"/>
      <c r="I88" s="93"/>
      <c r="J88" s="30" t="s">
        <v>9</v>
      </c>
      <c r="K88" s="33" t="str">
        <f t="shared" si="7"/>
        <v/>
      </c>
      <c r="L88" s="70" t="str">
        <f t="shared" si="10"/>
        <v/>
      </c>
      <c r="M88" s="10"/>
      <c r="N88" s="10"/>
      <c r="O88" s="10"/>
      <c r="P88" s="10"/>
    </row>
    <row r="89" spans="1:16" ht="30" customHeight="1" x14ac:dyDescent="0.25">
      <c r="A89" s="56">
        <f t="shared" si="11"/>
        <v>0</v>
      </c>
      <c r="B89" s="59"/>
      <c r="C89" s="83" t="str">
        <f t="shared" si="5"/>
        <v/>
      </c>
      <c r="D89" s="34" t="str">
        <f t="shared" si="6"/>
        <v/>
      </c>
      <c r="E89" s="30" t="e">
        <f t="shared" si="9"/>
        <v>#VALUE!</v>
      </c>
      <c r="F89" s="55"/>
      <c r="G89" s="29">
        <v>5</v>
      </c>
      <c r="H89" s="30"/>
      <c r="I89" s="93"/>
      <c r="J89" s="30" t="s">
        <v>9</v>
      </c>
      <c r="K89" s="33" t="str">
        <f t="shared" si="7"/>
        <v/>
      </c>
      <c r="L89" s="70" t="str">
        <f t="shared" si="10"/>
        <v/>
      </c>
      <c r="M89" s="10"/>
      <c r="N89" s="10"/>
      <c r="O89" s="10"/>
      <c r="P89" s="10"/>
    </row>
    <row r="90" spans="1:16" ht="30" customHeight="1" x14ac:dyDescent="0.25">
      <c r="A90" s="56">
        <f t="shared" si="11"/>
        <v>0</v>
      </c>
      <c r="B90" s="59"/>
      <c r="C90" s="83" t="str">
        <f t="shared" si="5"/>
        <v/>
      </c>
      <c r="D90" s="34" t="str">
        <f t="shared" si="6"/>
        <v/>
      </c>
      <c r="E90" s="30" t="e">
        <f t="shared" si="9"/>
        <v>#VALUE!</v>
      </c>
      <c r="F90" s="55"/>
      <c r="G90" s="29">
        <v>5</v>
      </c>
      <c r="H90" s="30"/>
      <c r="I90" s="93"/>
      <c r="J90" s="30" t="s">
        <v>9</v>
      </c>
      <c r="K90" s="33" t="str">
        <f t="shared" si="7"/>
        <v/>
      </c>
      <c r="L90" s="70" t="str">
        <f t="shared" si="10"/>
        <v/>
      </c>
      <c r="M90" s="10"/>
      <c r="N90" s="10"/>
      <c r="O90" s="10"/>
      <c r="P90" s="10"/>
    </row>
    <row r="91" spans="1:16" ht="30" customHeight="1" x14ac:dyDescent="0.25">
      <c r="A91" s="56">
        <f t="shared" si="11"/>
        <v>0</v>
      </c>
      <c r="B91" s="59"/>
      <c r="C91" s="83" t="str">
        <f t="shared" si="5"/>
        <v/>
      </c>
      <c r="D91" s="34" t="str">
        <f t="shared" si="6"/>
        <v/>
      </c>
      <c r="E91" s="30" t="e">
        <f t="shared" si="9"/>
        <v>#VALUE!</v>
      </c>
      <c r="F91" s="55"/>
      <c r="G91" s="29">
        <v>5</v>
      </c>
      <c r="H91" s="30"/>
      <c r="I91" s="93"/>
      <c r="J91" s="30" t="s">
        <v>9</v>
      </c>
      <c r="K91" s="33" t="str">
        <f t="shared" si="7"/>
        <v/>
      </c>
      <c r="L91" s="70" t="str">
        <f t="shared" si="10"/>
        <v/>
      </c>
      <c r="M91" s="10"/>
      <c r="N91" s="10"/>
      <c r="O91" s="10"/>
      <c r="P91" s="10"/>
    </row>
    <row r="92" spans="1:16" ht="30" customHeight="1" x14ac:dyDescent="0.25">
      <c r="A92" s="56">
        <f t="shared" si="11"/>
        <v>0</v>
      </c>
      <c r="B92" s="59"/>
      <c r="C92" s="83" t="str">
        <f t="shared" si="5"/>
        <v/>
      </c>
      <c r="D92" s="34" t="str">
        <f t="shared" si="6"/>
        <v/>
      </c>
      <c r="E92" s="30" t="e">
        <f t="shared" si="9"/>
        <v>#VALUE!</v>
      </c>
      <c r="F92" s="55"/>
      <c r="G92" s="29">
        <v>5</v>
      </c>
      <c r="H92" s="30"/>
      <c r="I92" s="93"/>
      <c r="J92" s="30" t="s">
        <v>9</v>
      </c>
      <c r="K92" s="33" t="str">
        <f t="shared" si="7"/>
        <v/>
      </c>
      <c r="L92" s="70" t="str">
        <f t="shared" si="10"/>
        <v/>
      </c>
      <c r="M92" s="10"/>
      <c r="N92" s="10"/>
      <c r="O92" s="10"/>
      <c r="P92" s="10"/>
    </row>
    <row r="93" spans="1:16" ht="30" customHeight="1" x14ac:dyDescent="0.25">
      <c r="A93" s="56">
        <f t="shared" si="11"/>
        <v>0</v>
      </c>
      <c r="B93" s="59"/>
      <c r="C93" s="83" t="str">
        <f t="shared" si="5"/>
        <v/>
      </c>
      <c r="D93" s="34" t="str">
        <f t="shared" si="6"/>
        <v/>
      </c>
      <c r="E93" s="30" t="e">
        <f t="shared" si="9"/>
        <v>#VALUE!</v>
      </c>
      <c r="F93" s="55"/>
      <c r="G93" s="29">
        <v>5</v>
      </c>
      <c r="H93" s="30"/>
      <c r="I93" s="93"/>
      <c r="J93" s="30" t="s">
        <v>9</v>
      </c>
      <c r="K93" s="33" t="str">
        <f t="shared" si="7"/>
        <v/>
      </c>
      <c r="L93" s="70" t="str">
        <f t="shared" si="10"/>
        <v/>
      </c>
      <c r="M93" s="10"/>
      <c r="N93" s="10"/>
      <c r="O93" s="10"/>
      <c r="P93" s="10"/>
    </row>
    <row r="94" spans="1:16" ht="30" customHeight="1" x14ac:dyDescent="0.25">
      <c r="A94" s="56">
        <f t="shared" si="11"/>
        <v>0</v>
      </c>
      <c r="B94" s="59"/>
      <c r="C94" s="83" t="str">
        <f t="shared" si="5"/>
        <v/>
      </c>
      <c r="D94" s="34" t="str">
        <f t="shared" si="6"/>
        <v/>
      </c>
      <c r="E94" s="30" t="e">
        <f t="shared" si="9"/>
        <v>#VALUE!</v>
      </c>
      <c r="F94" s="55"/>
      <c r="G94" s="29">
        <v>5</v>
      </c>
      <c r="H94" s="30"/>
      <c r="I94" s="93"/>
      <c r="J94" s="30" t="s">
        <v>9</v>
      </c>
      <c r="K94" s="33" t="str">
        <f t="shared" si="7"/>
        <v/>
      </c>
      <c r="L94" s="70" t="str">
        <f t="shared" si="10"/>
        <v/>
      </c>
      <c r="M94" s="10"/>
      <c r="N94" s="10"/>
      <c r="O94" s="10"/>
      <c r="P94" s="10"/>
    </row>
    <row r="95" spans="1:16" ht="30" customHeight="1" x14ac:dyDescent="0.25">
      <c r="A95" s="56">
        <f t="shared" si="11"/>
        <v>0</v>
      </c>
      <c r="B95" s="59"/>
      <c r="C95" s="83" t="str">
        <f t="shared" si="5"/>
        <v/>
      </c>
      <c r="D95" s="34" t="str">
        <f t="shared" si="6"/>
        <v/>
      </c>
      <c r="E95" s="30" t="e">
        <f t="shared" si="9"/>
        <v>#VALUE!</v>
      </c>
      <c r="F95" s="55"/>
      <c r="G95" s="29">
        <v>5</v>
      </c>
      <c r="H95" s="30"/>
      <c r="I95" s="93"/>
      <c r="J95" s="30" t="s">
        <v>9</v>
      </c>
      <c r="K95" s="33" t="str">
        <f t="shared" si="7"/>
        <v/>
      </c>
      <c r="L95" s="70" t="str">
        <f t="shared" si="10"/>
        <v/>
      </c>
      <c r="M95" s="10"/>
      <c r="N95" s="10"/>
      <c r="O95" s="10"/>
      <c r="P95" s="10"/>
    </row>
    <row r="96" spans="1:16" ht="30" customHeight="1" x14ac:dyDescent="0.25">
      <c r="A96" s="56">
        <f t="shared" si="11"/>
        <v>0</v>
      </c>
      <c r="B96" s="59"/>
      <c r="C96" s="83" t="str">
        <f t="shared" si="5"/>
        <v/>
      </c>
      <c r="D96" s="34" t="str">
        <f t="shared" si="6"/>
        <v/>
      </c>
      <c r="E96" s="30" t="e">
        <f t="shared" si="9"/>
        <v>#VALUE!</v>
      </c>
      <c r="F96" s="55"/>
      <c r="G96" s="29">
        <v>5</v>
      </c>
      <c r="H96" s="30"/>
      <c r="I96" s="93"/>
      <c r="J96" s="30" t="s">
        <v>9</v>
      </c>
      <c r="K96" s="33" t="str">
        <f t="shared" si="7"/>
        <v/>
      </c>
      <c r="L96" s="70" t="str">
        <f t="shared" si="10"/>
        <v/>
      </c>
      <c r="M96" s="10"/>
      <c r="N96" s="10"/>
      <c r="O96" s="10"/>
      <c r="P96" s="10"/>
    </row>
    <row r="97" spans="1:16" ht="30" customHeight="1" x14ac:dyDescent="0.25">
      <c r="A97" s="56">
        <f t="shared" si="11"/>
        <v>0</v>
      </c>
      <c r="B97" s="59"/>
      <c r="C97" s="83" t="str">
        <f t="shared" si="5"/>
        <v/>
      </c>
      <c r="D97" s="34" t="str">
        <f t="shared" si="6"/>
        <v/>
      </c>
      <c r="E97" s="30" t="e">
        <f t="shared" si="9"/>
        <v>#VALUE!</v>
      </c>
      <c r="F97" s="55"/>
      <c r="G97" s="29">
        <v>5</v>
      </c>
      <c r="H97" s="30"/>
      <c r="I97" s="93"/>
      <c r="J97" s="30" t="s">
        <v>9</v>
      </c>
      <c r="K97" s="33" t="str">
        <f t="shared" si="7"/>
        <v/>
      </c>
      <c r="L97" s="70" t="str">
        <f t="shared" si="10"/>
        <v/>
      </c>
      <c r="M97" s="10"/>
      <c r="N97" s="10"/>
      <c r="O97" s="10"/>
      <c r="P97" s="10"/>
    </row>
    <row r="98" spans="1:16" ht="30" customHeight="1" x14ac:dyDescent="0.25">
      <c r="A98" s="56">
        <f t="shared" si="11"/>
        <v>0</v>
      </c>
      <c r="B98" s="59"/>
      <c r="C98" s="83" t="str">
        <f t="shared" si="5"/>
        <v/>
      </c>
      <c r="D98" s="34" t="str">
        <f t="shared" si="6"/>
        <v/>
      </c>
      <c r="E98" s="30" t="e">
        <f t="shared" si="9"/>
        <v>#VALUE!</v>
      </c>
      <c r="F98" s="55"/>
      <c r="G98" s="29">
        <v>5</v>
      </c>
      <c r="H98" s="30"/>
      <c r="I98" s="93"/>
      <c r="J98" s="30" t="s">
        <v>9</v>
      </c>
      <c r="K98" s="33" t="str">
        <f t="shared" si="7"/>
        <v/>
      </c>
      <c r="L98" s="70" t="str">
        <f t="shared" si="10"/>
        <v/>
      </c>
      <c r="M98" s="10"/>
      <c r="N98" s="10"/>
      <c r="O98" s="10"/>
      <c r="P98" s="10"/>
    </row>
    <row r="99" spans="1:16" ht="30" customHeight="1" x14ac:dyDescent="0.25">
      <c r="A99" s="56">
        <f t="shared" si="11"/>
        <v>0</v>
      </c>
      <c r="B99" s="59"/>
      <c r="C99" s="83" t="str">
        <f t="shared" si="5"/>
        <v/>
      </c>
      <c r="D99" s="34" t="str">
        <f t="shared" si="6"/>
        <v/>
      </c>
      <c r="E99" s="30" t="e">
        <f t="shared" si="9"/>
        <v>#VALUE!</v>
      </c>
      <c r="F99" s="55"/>
      <c r="G99" s="29">
        <v>5</v>
      </c>
      <c r="H99" s="30"/>
      <c r="I99" s="93"/>
      <c r="J99" s="30" t="s">
        <v>9</v>
      </c>
      <c r="K99" s="33" t="str">
        <f t="shared" si="7"/>
        <v/>
      </c>
      <c r="L99" s="70" t="str">
        <f t="shared" si="10"/>
        <v/>
      </c>
      <c r="M99" s="10"/>
      <c r="N99" s="10"/>
      <c r="O99" s="10"/>
      <c r="P99" s="10"/>
    </row>
    <row r="100" spans="1:16" x14ac:dyDescent="0.25">
      <c r="B100" s="10"/>
      <c r="C100" s="10"/>
      <c r="D100" s="10"/>
      <c r="E100" s="10"/>
      <c r="F100" s="10"/>
      <c r="G100" s="10"/>
      <c r="H100" s="57"/>
      <c r="I100" s="3"/>
      <c r="J100" s="2"/>
      <c r="K100" s="2"/>
      <c r="L100" s="62"/>
      <c r="M100" s="10"/>
      <c r="N100" s="10"/>
      <c r="O100" s="10"/>
      <c r="P100" s="10"/>
    </row>
    <row r="101" spans="1:16" x14ac:dyDescent="0.25">
      <c r="B101" s="10"/>
      <c r="C101" s="10"/>
      <c r="D101" s="10"/>
      <c r="E101" s="10"/>
      <c r="F101" s="10"/>
      <c r="G101" s="10"/>
      <c r="H101" s="37"/>
      <c r="I101" s="67"/>
      <c r="J101" s="18"/>
      <c r="K101" s="38"/>
      <c r="L101" s="39"/>
      <c r="M101" s="10"/>
      <c r="N101" s="10"/>
      <c r="O101" s="10"/>
      <c r="P101" s="10"/>
    </row>
    <row r="102" spans="1:16" x14ac:dyDescent="0.25">
      <c r="B102" s="10"/>
      <c r="C102" s="10"/>
      <c r="D102" s="10"/>
      <c r="E102" s="10"/>
      <c r="F102" s="10"/>
      <c r="G102" s="10"/>
      <c r="H102" s="64"/>
      <c r="I102" s="65"/>
      <c r="J102" s="65"/>
      <c r="K102" s="65"/>
      <c r="L102" s="66"/>
      <c r="M102" s="10"/>
      <c r="N102" s="10"/>
      <c r="O102" s="10"/>
      <c r="P102" s="10"/>
    </row>
    <row r="103" spans="1:16" x14ac:dyDescent="0.25">
      <c r="B103" s="10"/>
      <c r="C103" s="10"/>
      <c r="D103" s="10"/>
      <c r="E103" s="10"/>
      <c r="F103" s="10"/>
      <c r="G103" s="10"/>
      <c r="H103" s="37"/>
      <c r="I103" s="67"/>
      <c r="J103" s="18"/>
      <c r="K103" s="38"/>
      <c r="L103" s="39"/>
      <c r="M103" s="10"/>
      <c r="N103" s="10"/>
      <c r="O103" s="10"/>
      <c r="P103" s="10"/>
    </row>
    <row r="104" spans="1:16" x14ac:dyDescent="0.25">
      <c r="B104" s="10"/>
      <c r="C104" s="10"/>
      <c r="D104" s="10"/>
      <c r="E104" s="10"/>
      <c r="F104" s="10"/>
      <c r="G104" s="10"/>
      <c r="H104" s="40" t="s">
        <v>13</v>
      </c>
      <c r="I104" s="6"/>
      <c r="J104" s="5"/>
      <c r="K104" s="41"/>
      <c r="L104" s="63">
        <f>1000-SUM(L13:L101)</f>
        <v>1000</v>
      </c>
      <c r="M104" s="10"/>
      <c r="N104" s="10"/>
      <c r="O104" s="10"/>
      <c r="P104" s="10"/>
    </row>
    <row r="105" spans="1:16" x14ac:dyDescent="0.25">
      <c r="B105" s="10"/>
      <c r="C105" s="10"/>
      <c r="D105" s="10"/>
      <c r="E105" s="10"/>
      <c r="F105" s="10"/>
      <c r="G105" s="10"/>
      <c r="H105" s="11"/>
      <c r="I105" s="12"/>
      <c r="J105" s="11"/>
      <c r="K105" s="60">
        <f>SUM(K13:K103)</f>
        <v>0</v>
      </c>
      <c r="L105" s="61">
        <v>1000</v>
      </c>
      <c r="M105" s="10"/>
      <c r="N105" s="10"/>
      <c r="O105" s="10"/>
      <c r="P105" s="10"/>
    </row>
  </sheetData>
  <mergeCells count="11">
    <mergeCell ref="H12:H13"/>
    <mergeCell ref="I12:J13"/>
    <mergeCell ref="C13:D13"/>
    <mergeCell ref="B1:G1"/>
    <mergeCell ref="B2:G2"/>
    <mergeCell ref="B3:G3"/>
    <mergeCell ref="B4:G4"/>
    <mergeCell ref="B10:C11"/>
    <mergeCell ref="B12:B13"/>
    <mergeCell ref="C12:D12"/>
    <mergeCell ref="E12:F12"/>
  </mergeCells>
  <conditionalFormatting sqref="A14:A99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Group Box 1">
              <controlPr defaultSize="0" autoFill="0" autoPict="0">
                <anchor moveWithCells="1">
                  <from>
                    <xdr:col>12</xdr:col>
                    <xdr:colOff>352425</xdr:colOff>
                    <xdr:row>1</xdr:row>
                    <xdr:rowOff>28575</xdr:rowOff>
                  </from>
                  <to>
                    <xdr:col>14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Group Box 2">
              <controlPr defaultSize="0" autoFill="0" autoPict="0">
                <anchor moveWithCells="1">
                  <from>
                    <xdr:col>14</xdr:col>
                    <xdr:colOff>104775</xdr:colOff>
                    <xdr:row>1</xdr:row>
                    <xdr:rowOff>28575</xdr:rowOff>
                  </from>
                  <to>
                    <xdr:col>15</xdr:col>
                    <xdr:colOff>666750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Group Box 3">
              <controlPr defaultSize="0" autoFill="0" autoPict="0">
                <anchor moveWithCells="1">
                  <from>
                    <xdr:col>7</xdr:col>
                    <xdr:colOff>66675</xdr:colOff>
                    <xdr:row>0</xdr:row>
                    <xdr:rowOff>76200</xdr:rowOff>
                  </from>
                  <to>
                    <xdr:col>8</xdr:col>
                    <xdr:colOff>266700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Group Box 4">
              <controlPr defaultSize="0" autoFill="0" autoPict="0">
                <anchor moveWithCells="1">
                  <from>
                    <xdr:col>6</xdr:col>
                    <xdr:colOff>142875</xdr:colOff>
                    <xdr:row>6</xdr:row>
                    <xdr:rowOff>171450</xdr:rowOff>
                  </from>
                  <to>
                    <xdr:col>7</xdr:col>
                    <xdr:colOff>1866900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Formulación de premezclas</vt:lpstr>
      <vt:lpstr>Fórmula</vt:lpstr>
      <vt:lpstr>FT</vt:lpstr>
      <vt:lpstr>check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margarita;Mariano G.</dc:creator>
  <cp:lastModifiedBy>Mariano Guardia</cp:lastModifiedBy>
  <cp:lastPrinted>2018-04-05T15:00:00Z</cp:lastPrinted>
  <dcterms:created xsi:type="dcterms:W3CDTF">2016-06-27T18:37:16Z</dcterms:created>
  <dcterms:modified xsi:type="dcterms:W3CDTF">2022-06-23T12:39:26Z</dcterms:modified>
</cp:coreProperties>
</file>